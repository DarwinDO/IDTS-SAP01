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21" firstSheet="0" activeTab="3"/>
  </bookViews>
  <sheets>
    <sheet name="Cover" sheetId="1" state="visible" ns1:id="rId3"/>
    <sheet name="Test Cases" sheetId="2" state="visible" ns1:id="rId4"/>
    <sheet name="Test Statistics" sheetId="3" state="visible" ns1:id="rId5"/>
    <sheet name="Feature 1" sheetId="4" state="visible" ns1:id="rId6"/>
    <sheet name="Feature 2" sheetId="5" state="visible" ns1:id="rId7"/>
  </sheets>
  <definedNames>
    <definedName function="false" hidden="false" localSheetId="0" name="_xlnm.Print_Area" vbProcedure="false">Cover!$A$1:$F$17</definedName>
    <definedName function="false" hidden="false" localSheetId="3" name="_xlnm.Print_Area" vbProcedure="false">'Feature 1'!$A$1:$O$32</definedName>
    <definedName function="false" hidden="false" localSheetId="3" name="_xlnm.Print_Titles" vbProcedure="false">'Feature 1'!$1:$10</definedName>
    <definedName function="false" hidden="false" localSheetId="4" name="_xlnm.Print_Area" vbProcedure="false">'Feature 2'!$A$1:$O$26</definedName>
    <definedName function="false" hidden="false" localSheetId="4" name="_xlnm.Print_Titles" vbProcedure="false">'Feature 2'!$1:$10</definedName>
    <definedName function="false" hidden="false" localSheetId="1" name="_xlnm.Print_Area" vbProcedure="false">'Test Cases'!$B$1:$F$35</definedName>
    <definedName function="false" hidden="false" localSheetId="1" name="_xlnm.Print_Titles" vbProcedure="false">'Test Cases'!$1:$8</definedName>
    <definedName function="false" hidden="false" localSheetId="2" name="_xlnm.Print_Area" vbProcedure="false">'Test Statistics'!$B$1:$H$29</definedName>
    <definedName function="false" hidden="false" localSheetId="2" name="_xlnm.Print_Titles" vbProcedure="false">'Test Statistics'!$1:$10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D10" authorId="0">
      <text>
        <r>
          <rPr>
            <sz val="10"/>
            <rFont val="Arial"/>
            <family val="2"/>
          </rPr>
          <t xml:space="preserve">*A: Add
  M: Modify
  D: Delete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14</xdr:rowOff>
              </xdr:from>
              <xdr:to>
                <xdr:col>2</xdr:col>
                <xdr:colOff>8</xdr:colOff>
                <xdr:row>1</xdr:row>
                <xdr:rowOff>76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79</xdr:colOff>
                <xdr:row>1</xdr:row>
                <xdr:rowOff>33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79</xdr:colOff>
                <xdr:row>1</xdr:row>
                <xdr:rowOff>33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<sst xmlns="http://schemas.openxmlformats.org/spreadsheetml/2006/main" count="543" uniqueCount="305">
  <si>
    <t xml:space="preserve">TEST REPORT DOCUMENT</t>
  </si>
  <si>
    <t xml:space="preserve">Project Name</t>
  </si>
  <si>
    <t xml:space="preserve">Issue and Defect Tracking System in SAP</t>
  </si>
  <si>
    <t xml:space="preserve">Creator</t>
  </si>
  <si>
    <t xml:space="preserve">DonHV</t>
  </si>
  <si>
    <t xml:space="preserve">Project Code</t>
  </si>
  <si>
    <t xml:space="preserve">IDTS-SAP01</t>
  </si>
  <si>
    <t xml:space="preserve">Issue Date</t>
  </si>
  <si>
    <t xml:space="preserve">Document Code</t>
  </si>
  <si>
    <t xml:space="preserve">IDTS-SAP01_Test Report_v0.4</t>
  </si>
  <si>
    <t xml:space="preserve">Version</t>
  </si>
  <si>
    <t xml:space="preserve">0.4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</si>
  <si>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</si>
  <si>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</si>
  <si>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</si>
  <si>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</si>
  <si>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</si>
  <si>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</si>
  <si>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Full SAP490 test pack</t>
  </si>
  <si>
    <t xml:space="preserve">M</t>
  </si>
  <si>
    <t xml:space="preserve">Reconciled from canonical cases and fresh exact npm runs; Pending/Prepared is not Passed.</t>
  </si>
  <si>
    <t xml:space="preserve">docs/qa/test-catalog.json</t>
  </si>
  <si>
    <t xml:space="preserve">TEST CASE LIST</t>
  </si>
  <si>
    <t xml:space="preserve">Test Environment Setup Description</t>
  </si>
  <si>
    <t xml:space="preserve">Local Node.js/CAP/SQLite; seeded roles; exact environment is recorded per case.</t>
  </si>
  <si>
    <t xml:space="preserve">No</t>
  </si>
  <si>
    <t xml:space="preserve">Function Name</t>
  </si>
  <si>
    <t xml:space="preserve">Sheet Name</t>
  </si>
  <si>
    <t xml:space="preserve">Description</t>
  </si>
  <si>
    <t xml:space="preserve">Pre-Condition</t>
  </si>
  <si>
    <t xml:space="preserve">UT-AI-001 — AI configuration is disabled by default</t>
  </si>
  <si>
    <t xml:space="preserve">Feature 1</t>
  </si>
  <si>
    <t xml:space="preserve">SRS-FR-AI-003
UNIT / PASSED</t>
  </si>
  <si>
    <t xml:space="preserve">Private AI configuration is absent.</t>
  </si>
  <si>
    <t xml:space="preserve">UT-AI-002 — Mock chat and structured response mapping</t>
  </si>
  <si>
    <t xml:space="preserve">Mock mode is enabled.</t>
  </si>
  <si>
    <t xml:space="preserve">UT-AI-003 — Embedding dimensions and model mapping</t>
  </si>
  <si>
    <t xml:space="preserve">Mock embedding dimensions are configured.</t>
  </si>
  <si>
    <t xml:space="preserve">UT-AI-004 — Provider error and timeout are sanitized</t>
  </si>
  <si>
    <t xml:space="preserve">SRS-FR-AI-002, SRS-FR-AI-003
UNIT / PASSED</t>
  </si>
  <si>
    <t xml:space="preserve">Controlled provider error and timeout modes are available.</t>
  </si>
  <si>
    <t xml:space="preserve">UT-AI-005 — Secret redactor masks representative keys</t>
  </si>
  <si>
    <t xml:space="preserve">Redactor is loaded.</t>
  </si>
  <si>
    <t xml:space="preserve">FT-CREATE-001 — Create a valid bug through the service</t>
  </si>
  <si>
    <t xml:space="preserve">SRS-FR-BUG-001, SRS-FR-CLASS-003
FUNCTIONAL_API / PASSED</t>
  </si>
  <si>
    <t xml:space="preserve">Tester is authenticated; active priority, severity and environment codes exist.</t>
  </si>
  <si>
    <t xml:space="preserve">FT-VALID-001 — Reject invalid, blank and inactive catalog values</t>
  </si>
  <si>
    <t xml:space="preserve">SRS-FR-BUG-002, SRS-FR-CLASS-003, SRS-FR-STATUS-008
FUNCTIONAL_API / PASSED</t>
  </si>
  <si>
    <t xml:space="preserve">Tester is authenticated; valid and inactive reference values exist.</t>
  </si>
  <si>
    <t xml:space="preserve">FT-AUTHZ-001 — Only Tester or PM can start a bug draft</t>
  </si>
  <si>
    <t xml:space="preserve">SRS-FR-AUTH-002, SRS-FR-BUG-001
FUNCTIONAL_API / PASSED</t>
  </si>
  <si>
    <t xml:space="preserve">Seeded users for all three roles.</t>
  </si>
  <si>
    <t xml:space="preserve">FT-AUTH-SESSION-001 — Authentication, bearer session and logout boundary</t>
  </si>
  <si>
    <t xml:space="preserve">SRS-FR-AUTH-001, SRS-FR-AUTH-002
PROGRAMMATIC_REGRESSION / PASSED</t>
  </si>
  <si>
    <t xml:space="preserve">Local CAP service with seeded identities; no production identity provider.</t>
  </si>
  <si>
    <t xml:space="preserve">FT-DUP-001 — Duplicate-checking support before create</t>
  </si>
  <si>
    <t xml:space="preserve">SRS-FR-BUG-003
FUNCTIONAL_UI_API / PASSED</t>
  </si>
  <si>
    <t xml:space="preserve">Authenticated Tester; at least one similar and one unrelated bug.</t>
  </si>
  <si>
    <t xml:space="preserve">FT-CLASS-ASSIGN-001 — Classify and assign by active responsibility</t>
  </si>
  <si>
    <t xml:space="preserve">SRS-FR-CLASS-001, SRS-FR-CLASS-004, SRS-FR-ASSIGN-001
FUNCTIONAL_UI_API / PASSED</t>
  </si>
  <si>
    <t xml:space="preserve">Active classification pairs and Developer Responsibilities exist.</t>
  </si>
  <si>
    <t xml:space="preserve">FT-PENDING-001 — Create without an assignee</t>
  </si>
  <si>
    <t xml:space="preserve">SRS-FR-ASSIGN-003, SRS-FR-STATUS-009
FUNCTIONAL_UI_API / PASSED</t>
  </si>
  <si>
    <t xml:space="preserve">Tester is authenticated and all required bug fields are valid.</t>
  </si>
  <si>
    <t xml:space="preserve">FT-REASSIGN-001 — Reassign with history</t>
  </si>
  <si>
    <t xml:space="preserve">SRS-FR-ASSIGN-004, SRS-FR-AUDIT-001
FUNCTIONAL_UI_API / PASSED</t>
  </si>
  <si>
    <t xml:space="preserve">Assigned bug and a second suitable Developer exist.</t>
  </si>
  <si>
    <t xml:space="preserve">FT-DEV-INFO-001 — Developer review and Request More Information</t>
  </si>
  <si>
    <t xml:space="preserve">SRS-FR-STATUS-001, SRS-FR-STATUS-002, SRS-FR-STATUS-009
FUNCTIONAL_UI_API / PASSED</t>
  </si>
  <si>
    <t xml:space="preserve">Assigned bug; assigned and non-assigned Developer accounts.</t>
  </si>
  <si>
    <t xml:space="preserve">FT-REJECT-001 — Reject, correct and reassign</t>
  </si>
  <si>
    <t xml:space="preserve">SRS-FR-STATUS-003, SRS-FR-STATUS-004, SRS-FR-STATUS-009
FUNCTIONAL_UI_API / PASSED</t>
  </si>
  <si>
    <t xml:space="preserve">Assigned bug with unsuitable classification or owner.</t>
  </si>
  <si>
    <t xml:space="preserve">FT-LIFECYCLE-001 — Resolve, retest, close and reopen</t>
  </si>
  <si>
    <t xml:space="preserve">SRS-FR-STATUS-005, SRS-FR-STATUS-006, SRS-FR-STATUS-007, SRS-FR-STATUS-008
FUNCTIONAL_UI_API / PASSED</t>
  </si>
  <si>
    <t xml:space="preserve">Bug is In Progress and reproducible.</t>
  </si>
  <si>
    <t xml:space="preserve">FT-COMMENT-001 — Add comment and retain it after reconnect</t>
  </si>
  <si>
    <t xml:space="preserve">SRS-FR-COMMENT-001, SRS-FR-COMMENT-002
FUNCTIONAL_API / PASSED</t>
  </si>
  <si>
    <t xml:space="preserve">Existing bug and file-backed test database.</t>
  </si>
  <si>
    <t xml:space="preserve">FT-ATTACH-001 — Upload, download, reload and delete an attachment</t>
  </si>
  <si>
    <t xml:space="preserve">SRS-DATA-007, SRS-FR-AUDIT-001
FUNCTIONAL_HTTP_UI / PASSED</t>
  </si>
  <si>
    <t xml:space="preserve">Authenticated Tester, existing bug and allowed small evidence file.</t>
  </si>
  <si>
    <t xml:space="preserve">FT-NOTIF-001 — Notification outbox success, failure, retry and rollback isolation</t>
  </si>
  <si>
    <t xml:space="preserve">SRS-FR-NOTIF-001, SRS-FR-NOTIF-002, SRS-FR-DELIVERY-001
FUNCTIONAL_INTEGRATION / PASSED</t>
  </si>
  <si>
    <t xml:space="preserve">Seeded bug and recipient; controlled fake transport.</t>
  </si>
  <si>
    <t xml:space="preserve">FT-PM-001 — PM monitoring flags, queues and current action owner</t>
  </si>
  <si>
    <t xml:space="preserve">SRS-FR-PM-001, SRS-FR-PM-002, SRS-FR-PM-003, SRS-FR-STATUS-009
FUNCTIONAL_API / PASSED</t>
  </si>
  <si>
    <t xml:space="preserve">Seeded open, closed, pending and rejected bugs.</t>
  </si>
  <si>
    <t xml:space="preserve">FT-AI-REVIEW-001 — Human reviews AI suggestion without automatic mutation</t>
  </si>
  <si>
    <t xml:space="preserve">SRS-FR-AI-002, SRS-FR-AI-003
FUNCTIONAL_UI_API / PASSED</t>
  </si>
  <si>
    <t xml:space="preserve">Authenticated user; AI disabled and controlled suggestion modes available.</t>
  </si>
  <si>
    <t xml:space="preserve">UAT-001 — Create and classify a bug</t>
  </si>
  <si>
    <t xml:space="preserve">Feature 2</t>
  </si>
  <si>
    <t xml:space="preserve">SRS-FR-BUG-001, SRS-FR-BUG-002, SRS-FR-CLASS-003, SRS-FR-ASSIGN-003
UAT / PREPARED</t>
  </si>
  <si>
    <t xml:space="preserve">Mentor/user has a Tester account and clean test data.</t>
  </si>
  <si>
    <t xml:space="preserve">UAT-002 — Developer review, information request and rejection</t>
  </si>
  <si>
    <t xml:space="preserve">SRS-FR-STATUS-001, SRS-FR-STATUS-002, SRS-FR-STATUS-003, SRS-FR-STATUS-004
UAT / PREPARED</t>
  </si>
  <si>
    <t xml:space="preserve">One suitable and one unsuitable assigned bug.</t>
  </si>
  <si>
    <t xml:space="preserve">UAT-003 — Resolve, retest, close and reopen</t>
  </si>
  <si>
    <t xml:space="preserve">SRS-FR-STATUS-005, SRS-FR-STATUS-006, SRS-FR-STATUS-007
UAT / PREPARED</t>
  </si>
  <si>
    <t xml:space="preserve">Two bugs are In Progress.</t>
  </si>
  <si>
    <t xml:space="preserve">UAT-004 — Comments and attachment evidence</t>
  </si>
  <si>
    <t xml:space="preserve">SRS-FR-COMMENT-001, SRS-DATA-007, SRS-FR-AUDIT-001
UAT / PREPARED</t>
  </si>
  <si>
    <t xml:space="preserve">Existing bug and allowed small file.</t>
  </si>
  <si>
    <t xml:space="preserve">UAT-005 — PM monitoring and action ownership</t>
  </si>
  <si>
    <t xml:space="preserve">SRS-FR-PM-001, SRS-FR-PM-002, SRS-FR-PM-003
UAT / PREPARED</t>
  </si>
  <si>
    <t xml:space="preserve">Representative bugs exist in each monitored state.</t>
  </si>
  <si>
    <t xml:space="preserve">UAT-006 — Advisory AI and safe fallback</t>
  </si>
  <si>
    <t xml:space="preserve">SRS-FR-AI-002, SRS-FR-AI-003
UAT / PREPARED</t>
  </si>
  <si>
    <t xml:space="preserve">Controlled suggestion and disabled/failure modes are available.</t>
  </si>
  <si>
    <t xml:space="preserve">TEST STATISTICS</t>
  </si>
  <si>
    <t xml:space="preserve">Mentor / Supervisor</t>
  </si>
  <si>
    <t xml:space="preserve">Notes</t>
  </si>
  <si>
    <t xml:space="preserve">27 planned; 21 executed; 21 passed; 0 failed; 0 blocked; 6 Not Run/Prepared. Pending is not Passed.</t>
  </si>
  <si>
    <t xml:space="preserve">Module code</t>
  </si>
  <si>
    <t xml:space="preserve">Passed</t>
  </si>
  <si>
    <t xml:space="preserve">Failed</t>
  </si>
  <si>
    <t xml:space="preserve">Pending</t>
  </si>
  <si>
    <t xml:space="preserve">Blocked</t>
  </si>
  <si>
    <t xml:space="preserve">Number of  test cases</t>
  </si>
  <si>
    <t xml:space="preserve">Executed unit/API/integration verification</t>
  </si>
  <si>
    <t xml:space="preserve">Manual functional and UAT preparation</t>
  </si>
  <si>
    <t xml:space="preserve">Sub total</t>
  </si>
  <si>
    <t xml:space="preserve">Case execution rate</t>
  </si>
  <si>
    <t xml:space="preserve">Pass rate over executed cases</t>
  </si>
  <si>
    <t xml:space="preserve">Metric</t>
  </si>
  <si>
    <t xml:space="preserve">Value</t>
  </si>
  <si>
    <t xml:space="preserve">Calculation / scope</t>
  </si>
  <si>
    <t xml:space="preserve">Planned cases</t>
  </si>
  <si>
    <t xml:space="preserve">27 canonical cases</t>
  </si>
  <si>
    <t xml:space="preserve">Executed cases</t>
  </si>
  <si>
    <t xml:space="preserve">21 Passed + 0 Failed</t>
  </si>
  <si>
    <t xml:space="preserve">Fresh evidence and required execution metadata</t>
  </si>
  <si>
    <t xml:space="preserve">Executed failed outcomes</t>
  </si>
  <si>
    <t xml:space="preserve">Execution blockers</t>
  </si>
  <si>
    <t xml:space="preserve">Not Run / Pending</t>
  </si>
  <si>
    <t xml:space="preserve">0 NOT_RUN + 6 PREPARED</t>
  </si>
  <si>
    <t xml:space="preserve">Planned requirement traceability</t>
  </si>
  <si>
    <t xml:space="preserve">32 / 32</t>
  </si>
  <si>
    <t xml:space="preserve">Executed requirement coverage</t>
  </si>
  <si>
    <t xml:space="preserve">Automated assertion/check count</t>
  </si>
  <si>
    <t xml:space="preserve">Fresh suite-reported checks; skipped checks are not Pass</t>
  </si>
  <si>
    <t xml:space="preserve">Defect count</t>
  </si>
  <si>
    <t xml:space="preserve">Real tracked defects; no synthetic defect</t>
  </si>
  <si>
    <t xml:space="preserve">Test requirement</t>
  </si>
  <si>
    <t xml:space="preserve">Freshly executed cases with exact command or direct execution evidence.</t>
  </si>
  <si>
    <t xml:space="preserve">Number of TCs</t>
  </si>
  <si>
    <t xml:space="preserve">Testing Round</t>
  </si>
  <si>
    <t xml:space="preserve">N/A</t>
  </si>
  <si>
    <t xml:space="preserve">Round 1</t>
  </si>
  <si>
    <t xml:space="preserve">Round 2</t>
  </si>
  <si>
    <t xml:space="preserve">Round 3</t>
  </si>
  <si>
    <t xml:space="preserve">Test Case ID</t>
  </si>
  <si>
    <t xml:space="preserve">Test Case Description</t>
  </si>
  <si>
    <t xml:space="preserve">Test Case Procedure</t>
  </si>
  <si>
    <t xml:space="preserve">Expected Results</t>
  </si>
  <si>
    <t xml:space="preserve">Pre-conditions</t>
  </si>
  <si>
    <t xml:space="preserve">Test date</t>
  </si>
  <si>
    <t xml:space="preserve">Tester</t>
  </si>
  <si>
    <t xml:space="preserve">Note</t>
  </si>
  <si>
    <t xml:space="preserve">Cases</t>
  </si>
  <si>
    <t xml:space="preserve">UT-AI-001</t>
  </si>
  <si>
    <t xml:space="preserve">AI configuration is disabled by default</t>
  </si>
  <si>
    <t xml:space="preserve">Req: SRS-FR-AI-003 | Role: N/A — module test | Data: Default configuration object. | 1) Load AI configuration. | 2) Call chat through the wrapper. | 3) Inspect success/status and sanitized result.</t>
  </si>
  <si>
    <t xml:space="preserve">enabled=false; result is AI_DISABLED; no exception or unsafe diagnostic.</t>
  </si>
  <si>
    <t xml:space="preserve">2026-07-23T10:59:19+07:00</t>
  </si>
  <si>
    <t xml:space="preserve">Actual: Passed in REG-AI-20260723. | Evidence: scripts/qa/test-idts64-ai-provider.js | Defects: None | Limitations: No live provider. | Postcondition: No business data changed.</t>
  </si>
  <si>
    <t xml:space="preserve">UT-AI-002</t>
  </si>
  <si>
    <t xml:space="preserve">Mock chat and structured response mapping</t>
  </si>
  <si>
    <t xml:space="preserve">Req: SRS-FR-AI-003 | Role: N/A — module test | Data: Safe text and ClassificationSuggestion schema. | 1) Configure mock provider. | 2) Call chat and structured operations. | 3) Compare mapped model, text and schema.</t>
  </si>
  <si>
    <t xml:space="preserve">Both operations succeed and excluded source secrets stay absent.</t>
  </si>
  <si>
    <t xml:space="preserve">Actual: Passed in REG-AI-20260723. | Evidence: scripts/qa/test-idts64-ai-provider.js | Defects: None | Limitations: Deterministic mock only. | Postcondition: No business data changed.</t>
  </si>
  <si>
    <t xml:space="preserve">UT-AI-003</t>
  </si>
  <si>
    <t xml:space="preserve">Embedding dimensions and model mapping</t>
  </si>
  <si>
    <t xml:space="preserve">Req: SRS-FR-AI-003 | Role: N/A — module test | Data: Six-dimensional mock vector. | 1) Configure dimension=6. | 2) Request an embedding. | 3) Compare dimensions, vector length and model alias.</t>
  </si>
  <si>
    <t xml:space="preserve">Success with exactly six values and the embedding-specific model alias.</t>
  </si>
  <si>
    <t xml:space="preserve">Actual: Passed in REG-AI-20260723. | Evidence: scripts/qa/test-idts64-ai-provider.js | Defects: None | Limitations: Mock vector, not semantic-quality evaluation. | Postcondition: No business data changed.</t>
  </si>
  <si>
    <t xml:space="preserve">UT-AI-004</t>
  </si>
  <si>
    <t xml:space="preserve">Provider error and timeout are sanitized</t>
  </si>
  <si>
    <t xml:space="preserve">Req: SRS-FR-AI-002, SRS-FR-AI-003 | Role: N/A — module test | Data: MOCK_PROVIDER_ERROR and delayed embedding. | 1) Trigger provider error. | 2) Trigger timeout. | 3) Inspect retryable flags and public diagnostic text.</t>
  </si>
  <si>
    <t xml:space="preserve">AI_PROVIDER_ERROR/AI_TIMEOUT are safe and retryability is preserved.</t>
  </si>
  <si>
    <t xml:space="preserve">Actual: Passed in REG-AI-20260723. | Evidence: scripts/qa/test-idts64-ai-provider.js | Defects: None | Limitations: Controlled failure only. | Postcondition: Normal non-AI workflow remains untouched.</t>
  </si>
  <si>
    <t xml:space="preserve">UT-AI-005</t>
  </si>
  <si>
    <t xml:space="preserve">Secret redactor masks representative keys</t>
  </si>
  <si>
    <t xml:space="preserve">Req: SRS-FR-AI-003 | Role: N/A — module test | Data: Synthetic AWS access key and Brevo API key patterns. | 1) Pass synthetic key-shaped strings to the redactor. | 2) Inspect returned text.</t>
  </si>
  <si>
    <t xml:space="preserve">Both representative secrets are masked.</t>
  </si>
  <si>
    <t xml:space="preserve">Actual: Passed in REG-AI-20260723. | Evidence: scripts/qa/test-idts64-ai-provider.js | Defects: None | Limitations: Representative patterns only; not proof against every possible secret format. | Postcondition: Synthetic data discarded.</t>
  </si>
  <si>
    <t xml:space="preserve">FT-CREATE-001</t>
  </si>
  <si>
    <t xml:space="preserve">Create a valid bug through the service</t>
  </si>
  <si>
    <t xml:space="preserve">Req: SRS-FR-BUG-001, SRS-FR-CLASS-003 | Role: Tester | Data: Complete sanitized bug payload with active codes. | 1) Submit a valid create request. | 2) Read the created bug by ID. | 3) Check required business values.</t>
  </si>
  <si>
    <t xml:space="preserve">Create succeeds and the bug is persisted with valid values.</t>
  </si>
  <si>
    <t xml:space="preserve">2026-07-23T10:59:07+07:00</t>
  </si>
  <si>
    <t xml:space="preserve">Actual: Passed: valid active catalog codes created a bug. | Evidence: scripts/qa/test-idts41-code-list-validation.js | Defects: IDTS-32 | Limitations: No fresh Fiori UI or reload evidence. | Postcondition: Created test data remains only in the in-memory database.</t>
  </si>
  <si>
    <t xml:space="preserve">FT-VALID-001</t>
  </si>
  <si>
    <t xml:space="preserve">Reject invalid, blank and inactive catalog values</t>
  </si>
  <si>
    <t xml:space="preserve">Req: SRS-FR-BUG-002, SRS-FR-CLASS-003, SRS-FR-STATUS-008 | Role: Tester | Data: Numeric-like, wrong-case, whitespace, unknown and inactive codes. | 1) Submit each invalid create/update/draft variant. | 2) Check 400 response and target field. | 3) Reload persisted row after rejected update.</t>
  </si>
  <si>
    <t xml:space="preserve">Every invalid value is rejected and stored valid state remains unchanged.</t>
  </si>
  <si>
    <t xml:space="preserve">Actual: Passed across invalid create, update and draft checks. | Evidence: scripts/qa/test-idts41-code-list-validation.js | Defects: IDTS-32 | Limitations: UI value-state presentation not rerun. | Postcondition: Rejected inputs are not persisted.</t>
  </si>
  <si>
    <t xml:space="preserve">FT-AUTHZ-001</t>
  </si>
  <si>
    <t xml:space="preserve">Only Tester or PM can start a bug draft</t>
  </si>
  <si>
    <t xml:space="preserve">Req: SRS-FR-AUTH-002, SRS-FR-BUG-001 | Role: Developer / Tester / PM | Data: Root draft NEW request per role. | 1) Call root draft NEW as Developer. | 2) Repeat as Tester. | 3) Repeat as PM.</t>
  </si>
  <si>
    <t xml:space="preserve">Developer receives 403; Tester and PM are allowed.</t>
  </si>
  <si>
    <t xml:space="preserve">Actual: Passed for all three role checks. | Evidence: scripts/qa/test-idts41-code-list-validation.js | Defects: IDTS-41 | Limitations: No fresh button-visibility browser check. | Postcondition: Unauthorized draft does not exist.</t>
  </si>
  <si>
    <t xml:space="preserve">FT-AUTH-SESSION-001</t>
  </si>
  <si>
    <t xml:space="preserve">Authentication, bearer session and logout boundary</t>
  </si>
  <si>
    <t xml:space="preserve">Req: SRS-FR-AUTH-001, SRS-FR-AUTH-002 | Role: Anonymous / authenticated user | Data: Seeded valid, invalid and revoked-session inputs; raw transient token values are excluded from artifacts. | 1) Run npm run qa:auth:programmatic. | 2) Review the 28 login, rejection, session, bearer, me, logout, revocation and sanitization checks. | 3) Confirm exit code 0 and no failed/skipped check.</t>
  </si>
  <si>
    <t xml:space="preserve">All 28 local authentication/session checks pass; failures are sanitized and revoked sessions cannot be reused.</t>
  </si>
  <si>
    <t xml:space="preserve">2026-07-23T10:58:30+07:00</t>
  </si>
  <si>
    <t xml:space="preserve">Actual: 28 passed, 0 failed, 0 skipped; exit code 0. | Evidence: scripts/qa/test-auth-foundation-programmatic.js | Defects: IDTS-35, IDTS-52, IDTS-53 | Limitations: No current browser login/profile UAT and no production identity-provider claim. | Postcondition: Test sessions are revoked or remain only in the in-memory database.</t>
  </si>
  <si>
    <t xml:space="preserve">FT-DUP-001</t>
  </si>
  <si>
    <t xml:space="preserve">Duplicate-checking support before create</t>
  </si>
  <si>
    <t xml:space="preserve">Req: SRS-FR-BUG-003 | Role: Tester | Data: A new login-failure description and classification context. | 1) Open Create Bug. | 2) Run similar-bug check. | 3) Review candidates and ignore the suggestion. | 4) Confirm no new DuplicateLinks row and continue create.</t>
  </si>
  <si>
    <t xml:space="preserve">Relevant candidates are shown as advice; ignoring them does not mutate data or block create.</t>
  </si>
  <si>
    <t xml:space="preserve">2026-07-24T20:42:48+07:00</t>
  </si>
  <si>
    <t xml:space="preserve">IDTS-100 automated acceptance under DonHV</t>
  </si>
  <si>
    <t xml:space="preserve">Actual: Passed on Render Shared QA. The API and Fiori dialog returned review-only duplicate guidance, covered the no-result state, and did not mutate Bug workflow data. | Evidence: docs/pm/evidence/idts-100/shared-qa-ai/render-ai-smoke.json, docs/pm/evidence/idts-100/shared-qa-ai-browser/all-review-actions/shared-qa-ai-browser.json | Defects: None | Limitations: Agent-executed acceptance evidence; formal human UAT sign-off is tracked separately. | Postcondition: No automatic duplicate relation exists.</t>
  </si>
  <si>
    <t xml:space="preserve">FT-CLASS-ASSIGN-001</t>
  </si>
  <si>
    <t xml:space="preserve">Classify and assign by active responsibility</t>
  </si>
  <si>
    <t xml:space="preserve">Req: SRS-FR-CLASS-001, SRS-FR-CLASS-004, SRS-FR-ASSIGN-001 | Role: Tester | Data: Application Component=Bug Management; Defect Category=Fiori/UI5; one suitable and one unsuitable Developer. | 1) Open Create Bug. | 2) Select Application Component and Defect Category. | 3) Open Smart Assign/Assignee candidates. | 4) Select the suitable Developer and save. | 5) Reload the bug.</t>
  </si>
  <si>
    <t xml:space="preserve">Only responsible active candidates are selectable; saved bug is Assigned and ownership persists after reload.</t>
  </si>
  <si>
    <t xml:space="preserve">Actual: Passed on Render Shared QA. Active classification mapping was accepted, an eligible Developer was assigned, direct Developer self-assignment was denied, and the manual Smart Assign review remained available. | Evidence: docs/pm/evidence/idts-100/shared-qa-lifecycle/shared-qa-lifecycle.json, docs/pm/evidence/idts-100/shared-qa-ai-browser/assignment/idts72-ai-browser-smoke.json | Defects: IDTS-56 | Limitations: Agent-executed acceptance evidence; formal human UAT sign-off is tracked separately. | Postcondition: Assigned Developer is the technical owner.</t>
  </si>
  <si>
    <t xml:space="preserve">FT-PENDING-001</t>
  </si>
  <si>
    <t xml:space="preserve">Create without an assignee</t>
  </si>
  <si>
    <t xml:space="preserve">Req: SRS-FR-ASSIGN-003, SRS-FR-STATUS-009 | Role: Tester | Data: Valid bug with no selected assignee. | 1) Create a valid bug. | 2) Leave assignee unselected. | 3) Submit and reload. | 4) Inspect status and Current Action Owner.</t>
  </si>
  <si>
    <t xml:space="preserve">Bug is Pending Assignment; no Developer is selected automatically; PM/Tester queue owns the next action.</t>
  </si>
  <si>
    <t xml:space="preserve">Actual: Passed on Render Shared QA. Activating a valid draft without an assignee produced PENDING_ASSIGNMENT, no assignee, and PM as the next processing role. | Evidence: docs/pm/evidence/idts-100/shared-qa-lifecycle/shared-qa-lifecycle.json | Defects: None | Limitations: Agent-executed acceptance evidence; formal human UAT sign-off is tracked separately. | Postcondition: Bug awaits explicit assignment.</t>
  </si>
  <si>
    <t xml:space="preserve">FT-REASSIGN-001</t>
  </si>
  <si>
    <t xml:space="preserve">Reassign with history</t>
  </si>
  <si>
    <t xml:space="preserve">Req: SRS-FR-ASSIGN-004, SRS-FR-AUDIT-001 | Role: Tester / PM | Data: Reason: workload balancing. | 1) Open the assigned bug. | 2) Choose another suitable Developer. | 3) Save with reassignment reason. | 4) Reload ownership and History.</t>
  </si>
  <si>
    <t xml:space="preserve">Exactly one assignee remains; history names actor, old/new owner, reason and timestamp.</t>
  </si>
  <si>
    <t xml:space="preserve">Actual: Passed on Render Shared QA. The bug moved through rejection to Pending Assignment, cleared the assignee, was reassigned, and retained exact history action types. | Evidence: docs/pm/evidence/idts-100/shared-qa-lifecycle/shared-qa-lifecycle.json | Defects: None | Limitations: Agent-executed acceptance evidence; formal human UAT sign-off is tracked separately. | Postcondition: New Developer is technical owner.</t>
  </si>
  <si>
    <t xml:space="preserve">FT-DEV-INFO-001</t>
  </si>
  <si>
    <t xml:space="preserve">Developer review and Request More Information</t>
  </si>
  <si>
    <t xml:space="preserve">Req: SRS-FR-STATUS-001, SRS-FR-STATUS-002, SRS-FR-STATUS-009 | Role: Developer | Data: Reason: missing browser version and exact reproduction step. | 1) Open as non-assigned Developer and try the action. | 2) Open as assigned Developer and submit blank reason. | 3) Submit the valid reason. | 4) Reload status, owner, notification and history.</t>
  </si>
  <si>
    <t xml:space="preserve">Wrong role/owner and blank reason are blocked; valid action sets Need More Information and Tester action ownership with audit/notification.</t>
  </si>
  <si>
    <t xml:space="preserve">Actual: Passed on Render Shared QA. The assigned Developer requested more information, a blank reason returned 400, and the Tester resubmitted the bug to the same Developer. | Evidence: docs/pm/evidence/idts-100/shared-qa-lifecycle/shared-qa-lifecycle.json, docs/pm/evidence/idts-100/shared-qa-email-brevo-20260724.md | Defects: None | Limitations: Agent-executed acceptance evidence; formal human UAT sign-off is tracked separately. | Postcondition: Tester must provide information and resubmit.</t>
  </si>
  <si>
    <t xml:space="preserve">FT-REJECT-001</t>
  </si>
  <si>
    <t xml:space="preserve">Reject, correct and reassign</t>
  </si>
  <si>
    <t xml:space="preserve">Req: SRS-FR-STATUS-003, SRS-FR-STATUS-004, SRS-FR-STATUS-009 | Role: Developer / Tester | Data: Reason: component is Notification, not Dashboard. | 1) Reject without reason and confirm validation. | 2) Reject with the specific reason. | 3) Reload status/history/current owner. | 4) As Tester, correct classification and reassign or choose Pending Assignment. | 5) Reload again.</t>
  </si>
  <si>
    <t xml:space="preserve">Blank reason is blocked; valid rejection records follow-up; correction leaves Rejected through Assigned or Pending Assignment, never directly Need More Information.</t>
  </si>
  <si>
    <t xml:space="preserve">Actual: Passed on Render Shared QA. The assigned Developer rejected with a reason; PM returned the bug to the assignment queue and completed correction follow-up by reassigning it. | Evidence: docs/pm/evidence/idts-100/shared-qa-lifecycle/shared-qa-lifecycle.json, docs/pm/evidence/idts-100/shared-qa-email-brevo-20260724.md | Defects: None | Limitations: Agent-executed acceptance evidence; formal human UAT sign-off is tracked separately. | Postcondition: Bug has a clear next technical/queue owner.</t>
  </si>
  <si>
    <t xml:space="preserve">FT-LIFECYCLE-001</t>
  </si>
  <si>
    <t xml:space="preserve">Resolve, retest, close and reopen</t>
  </si>
  <si>
    <t xml:space="preserve">Req: SRS-FR-STATUS-005, SRS-FR-STATUS-006, SRS-FR-STATUS-007, SRS-FR-STATUS-008 | Role: Developer / Tester / PM | Data: Resolution note plus one passing and one failing retest observation. | 1) Developer resolves with note. | 2) Tester/PM moves to Retest Required. | 3) Record passing retest and close; reload. | 4) On a second bug, record failing retest and reopen; reload.</t>
  </si>
  <si>
    <t xml:space="preserve">Pass reaches Closed; fail reaches Reopened; required notes, owners and audit remain consistent after reload.</t>
  </si>
  <si>
    <t xml:space="preserve">Actual: Passed on Render Shared QA across PM, Tester and Developer sessions: assign, review, progress, information request, resubmit, resolve, retest, close, reopen, reject and reassign all persisted with exact history and notification side effects. | Evidence: docs/pm/evidence/idts-100/shared-qa-lifecycle/shared-qa-lifecycle.json, docs/pm/evidence/idts-100/shared-qa-email-brevo-20260724.md | Defects: None | Limitations: Agent-executed acceptance evidence; formal human UAT sign-off is tracked separately. | Postcondition: Closed has no next processor; Reopened returns to active handling.</t>
  </si>
  <si>
    <t xml:space="preserve">FT-COMMENT-001</t>
  </si>
  <si>
    <t xml:space="preserve">Add comment and retain it after reconnect</t>
  </si>
  <si>
    <t xml:space="preserve">Req: SRS-FR-COMMENT-001, SRS-FR-COMMENT-002 | Role: Tester | Data: Unique sanitized comment marker. | 1) Add a comment through the bound action. | 2) Read the comment row. | 3) Reconnect to the same SQLite file. | 4) Read the row again and compare bug status.</t>
  </si>
  <si>
    <t xml:space="preserve">Comment remains after reconnect and does not directly change bug status.</t>
  </si>
  <si>
    <t xml:space="preserve">2026-07-23T10:59:13+07:00</t>
  </si>
  <si>
    <t xml:space="preserve">Actual: Passed: row created and retained after reconnect. | Evidence: scripts/qa/test-comments-attachments-programmatic.js | Defects: IDTS-55 | Limitations: No fresh Fiori visual comment evidence. | Postcondition: Test database remains under ignored .tmp.</t>
  </si>
  <si>
    <t xml:space="preserve">FT-ATTACH-001</t>
  </si>
  <si>
    <t xml:space="preserve">Upload, download, reload and delete an attachment</t>
  </si>
  <si>
    <t xml:space="preserve">Req: SRS-DATA-007, SRS-FR-AUDIT-001 | Role: Tester | Data: Small text/image file, disallowed MIME variant and over-limit boundary file. | 1) Edit the root draft and upload allowed evidence. | 2) Activate and reload. | 3) Download and compare content. | 4) Try invalid MIME/size variants. | 5) Delete and verify metadata/object/history cleanup.</t>
  </si>
  <si>
    <t xml:space="preserve">Allowed evidence persists and downloads; invalid variants are blocked; delete cleans storage and records history.</t>
  </si>
  <si>
    <t xml:space="preserve">Actual: Passed on Render Shared QA. Two files selected before save were uploaded after activation, downloaded with matching SHA-256, persisted after redeploy, and one attachment was deleted with the subsequent download returning 404. | Evidence: docs/pm/evidence/idts-100/shared-qa-attachments/idts73-create-attachments-browser.json, docs/pm/evidence/idts-100/shared-qa-attachments/delete-verification-20260724.md | Defects: IDTS-55 | Limitations: Agent-executed acceptance evidence; formal human UAT sign-off is tracked separately. | Postcondition: No orphan attachment remains.</t>
  </si>
  <si>
    <t xml:space="preserve">FT-NOTIF-001</t>
  </si>
  <si>
    <t xml:space="preserve">Notification outbox success, failure, retry and rollback isolation</t>
  </si>
  <si>
    <t xml:space="preserve">Req: SRS-FR-NOTIF-001, SRS-FR-NOTIF-002, SRS-FR-DELIVERY-001 | Role: System / Tester | Data: Enabled, disabled, inactive-recipient, success and secret-bearing failure variants. | 1) Create notification/outbox rows. | 2) Process success and failure variants. | 3) Advance retry and process again. | 4) Inspect sanitized fields and OData shape. | 5) Force business rollback and confirm rows roll back.</t>
  </si>
  <si>
    <t xml:space="preserve">States are PENDING/SENT/FAILED/SKIPPED as applicable; retry succeeds; provider failure does not expose secrets or corrupt workflow.</t>
  </si>
  <si>
    <t xml:space="preserve">2026-07-23T10:58:52+07:00</t>
  </si>
  <si>
    <t xml:space="preserve">Actual: Passed with 58 assertion calls using controlled transport. | Evidence: scripts/qa/test-email-outbox-programmatic.js | Defects: None | Limitations: Live provider delivery was not run; local disabled delivery is SKIPPED. | Postcondition: Only controlled local rows existed.</t>
  </si>
  <si>
    <t xml:space="preserve">FT-PM-001</t>
  </si>
  <si>
    <t xml:space="preserve">PM monitoring flags, queues and current action owner</t>
  </si>
  <si>
    <t xml:space="preserve">Req: SRS-FR-PM-001, SRS-FR-PM-002, SRS-FR-PM-003, SRS-FR-STATUS-009 | Role: PM | Data: BUG-0001..0004 and one closed QA bug. | 1) Read calculated flags. | 2) Filter each monitoring queue. | 3) Read currentActionOwnerDisplayName with sparse selection. | 4) Compare closed-bug boundary behavior.</t>
  </si>
  <si>
    <t xml:space="preserve">Twenty expected flag/filter/owner checks match; closed bug is not overdue or pending.</t>
  </si>
  <si>
    <t xml:space="preserve">2026-07-23T10:59:01+07:00</t>
  </si>
  <si>
    <t xml:space="preserve">Actual: 20/20 passed. | Evidence: scripts/qa/test-pm-monitoring-programmatic.js | Defects: None | Limitations: No fresh dashboard visual/UX check. | Postcondition: Read-only monitoring changed no business data.</t>
  </si>
  <si>
    <t xml:space="preserve">FT-AI-REVIEW-001</t>
  </si>
  <si>
    <t xml:space="preserve">Human reviews AI suggestion without automatic mutation</t>
  </si>
  <si>
    <t xml:space="preserve">Req: SRS-FR-AI-002, SRS-FR-AI-003 | Role: Tester / PM | Data: Similar/classification/handoff suggestion with safe and malformed variants. | 1) Capture bug values before suggestion. | 2) Open review suggestion. | 3) Ignore it and reload. | 4) Repeat failure/malformed mode. | 5) Confirm bug values unchanged and safe audit/feedback.</t>
  </si>
  <si>
    <t xml:space="preserve">Suggestion never changes assignment, classification or lifecycle automatically; normal workflow remains usable.</t>
  </si>
  <si>
    <t xml:space="preserve">Actual: Passed for disabled-provider acceptance on Render Shared QA. Similar Bugs, Classification, Handoff Summary and Smart Assignment were review-only, safe, browser-visible and did not mutate workflow. Live OpenAI provider remains NOT ACCEPTED by decision. | Evidence: docs/pm/evidence/idts-100/shared-qa-ai/render-ai-smoke.json, docs/pm/evidence/idts-100/shared-qa-ai-browser/all-review-actions/shared-qa-ai-browser.json, docs/pm/evidence/idts-100/shared-qa-ai-browser/assignment/idts72-ai-browser-smoke.json | Defects: IDTS-78 | Limitations: Agent-executed acceptance evidence; formal human UAT sign-off is tracked separately. | Postcondition: Bug remains unchanged unless an authorized user separately applies a normal action.</t>
  </si>
  <si>
    <t xml:space="preserve">Feature</t>
  </si>
  <si>
    <t xml:space="preserve">Manual UI flows remain NOT_RUN and UAT remains PREPARED; no sign-off claim.</t>
  </si>
  <si>
    <t xml:space="preserve">UAT-001</t>
  </si>
  <si>
    <t xml:space="preserve">Create and classify a bug</t>
  </si>
  <si>
    <t xml:space="preserve">Req: SRS-FR-BUG-001, SRS-FR-BUG-002, SRS-FR-CLASS-003, SRS-FR-ASSIGN-003 | Role: Tester | Data: UI issue in Bug Management; valid priority/severity; no assignee for the Pending variant. | 1) Open Create Bug. | 2) Enter all required data. | 3) Select classification. | 4) Submit once with an assignee and once without. | 5) Reload both bugs.</t>
  </si>
  <si>
    <t xml:space="preserve">Assigned/Pending Assignment match the explicit choice; no automatic Developer selection; data persists.</t>
  </si>
  <si>
    <t xml:space="preserve">Actual: Not run | Evidence: docs/pm/evidence/idts-100/shared-qa-lifecycle/shared-qa-lifecycle.json, docs/pm/evidence/idts-100/shared-qa-attachments/idts73-create-attachments-browser.json | Defects: None | Limitations: PREPARED ? human execution, decision, date and signature remain required. | Postcondition: Created UAT bugs are labelled for cleanup.</t>
  </si>
  <si>
    <t xml:space="preserve">UAT-002</t>
  </si>
  <si>
    <t xml:space="preserve">Developer review, information request and rejection</t>
  </si>
  <si>
    <t xml:space="preserve">Req: SRS-FR-STATUS-001, SRS-FR-STATUS-002, SRS-FR-STATUS-003, SRS-FR-STATUS-004 | Role: Developer / Tester | Data: Specific missing-information reason and rejection reason. | 1) As assigned Developer, review both bugs. | 2) Request information on one with reason. | 3) Reject the other with reason. | 4) As Tester, resubmit/correct and reassign. | 5) Reload history and ownership.</t>
  </si>
  <si>
    <t xml:space="preserve">Required reasons, allowed transitions, notifications, history and Current Action Owner are correct.</t>
  </si>
  <si>
    <t xml:space="preserve">Actual: Not run | Evidence: docs/pm/evidence/idts-100/shared-qa-lifecycle/shared-qa-lifecycle.json, docs/pm/evidence/idts-100/shared-qa-email-brevo-20260724.md | Defects: None | Limitations: PREPARED ? human execution, decision, date and signature remain required. | Postcondition: Both bugs have clear next owners.</t>
  </si>
  <si>
    <t xml:space="preserve">UAT-003</t>
  </si>
  <si>
    <t xml:space="preserve">Req: SRS-FR-STATUS-005, SRS-FR-STATUS-006, SRS-FR-STATUS-007 | Role: Developer / Tester / PM | Data: Resolution notes plus one pass and one fail observation. | 1) Resolve both bugs. | 2) Move both to Retest Required. | 3) Close the passing bug. | 4) Reopen the failing bug. | 5) Reload status/history/owners.</t>
  </si>
  <si>
    <t xml:space="preserve">Pass closes; fail reopens; no unsupported post-retest information-request branch appears.</t>
  </si>
  <si>
    <t xml:space="preserve">Actual: Not run | Evidence: docs/pm/evidence/idts-100/shared-qa-lifecycle/shared-qa-lifecycle.json, docs/pm/evidence/idts-100/shared-qa-email-brevo-20260724.md | Defects: None | Limitations: PREPARED ? human execution, decision, date and signature remain required. | Postcondition: One Closed and one Reopened UAT bug.</t>
  </si>
  <si>
    <t xml:space="preserve">UAT-004</t>
  </si>
  <si>
    <t xml:space="preserve">Comments and attachment evidence</t>
  </si>
  <si>
    <t xml:space="preserve">Req: SRS-FR-COMMENT-001, SRS-DATA-007, SRS-FR-AUDIT-001 | Role: Tester / Developer | Data: Specific comment and a sanitized evidence file. | 1) Add a comment. | 2) Upload evidence through edit/draft. | 3) Save and reload. | 4) Download and compare. | 5) Delete and confirm cleanup/history.</t>
  </si>
  <si>
    <t xml:space="preserve">Comment and evidence persist; download works; cleanup and history are correct.</t>
  </si>
  <si>
    <t xml:space="preserve">Actual: Not run | Evidence: docs/pm/evidence/idts-100/shared-qa-attachments/idts73-create-attachments-browser.json, docs/pm/evidence/idts-100/shared-qa-attachments/delete-verification-20260724.md | Defects: None | Limitations: PREPARED ? human execution, decision, date and signature remain required. | Postcondition: Attachment cleanup follows the UAT plan.</t>
  </si>
  <si>
    <t xml:space="preserve">UAT-005</t>
  </si>
  <si>
    <t xml:space="preserve">PM monitoring and action ownership</t>
  </si>
  <si>
    <t xml:space="preserve">Req: SRS-FR-PM-001, SRS-FR-PM-002, SRS-FR-PM-003 | Role: PM | Data: Pending, overdue, rejected, retest, closed and assigned bugs. | 1) Open PM monitoring views. | 2) Apply each queue/filter. | 3) Compare counts to source bugs. | 4) Open representative rows and inspect owners. | 5) Reload the dashboard.</t>
  </si>
  <si>
    <t xml:space="preserve">Counts, filters and owner wording are understandable and remain consistent after reload.</t>
  </si>
  <si>
    <t xml:space="preserve">Actual: Not run | Evidence: docs/pm/evidence/idts-100/shared-qa-lifecycle/shared-qa-lifecycle.json, docs/pm/evidence/idts-100/local-fast/ | Defects: None | Limitations: PREPARED ? human execution, decision, date and signature remain required. | Postcondition: Monitoring remains read-only.</t>
  </si>
  <si>
    <t xml:space="preserve">UAT-006</t>
  </si>
  <si>
    <t xml:space="preserve">Advisory AI and safe fallback</t>
  </si>
  <si>
    <t xml:space="preserve">Req: SRS-FR-AI-002, SRS-FR-AI-003 | Role: Tester / PM | Data: Similar/classification/handoff suggestion on a test bug. | 1) Record bug values. | 2) Open and ignore a suggestion. | 3) Reload and compare values. | 4) Trigger disabled/failure mode. | 5) Continue a normal authorized bug action.</t>
  </si>
  <si>
    <t xml:space="preserve">No automatic mutation; safe message is shown; normal action remains available.</t>
  </si>
  <si>
    <t xml:space="preserve">Actual: Not run | Evidence: docs/pm/evidence/idts-100/shared-qa-ai/render-ai-smoke.json, docs/pm/evidence/idts-100/shared-qa-ai-browser/all-review-actions/shared-qa-ai-browser.json, docs/pm/evidence/idts-100/shared-qa-ai-browser/assignment/idts72-ai-browser-smoke.json | Defects: None | Limitations: PREPARED ? human execution, decision, date and signature remain required. | Postcondition: Test bug remains under human control.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</si>
</sst>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d\-mmm\-yy;@"/>
    <numFmt numFmtId="167" formatCode="@"/>
    <numFmt numFmtId="168" formatCode="d\-mmm\-yy"/>
    <numFmt numFmtId="169" formatCode="0"/>
    <numFmt numFmtId="170" formatCode="0.00%"/>
    <numFmt numFmtId="171" formatCode="0%"/>
  </numFmts>
  <fonts count="30">
    <font>
      <sz val="12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 val="true"/>
      <sz val="26"/>
      <color rgb="FFFF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2"/>
      <color rgb="FF993300"/>
      <name val="Tahoma"/>
      <family val="2"/>
      <charset val="1"/>
    </font>
    <font>
      <i val="true"/>
      <sz val="12"/>
      <color rgb="FF008000"/>
      <name val="Tahoma"/>
      <family val="2"/>
      <charset val="1"/>
    </font>
    <font>
      <sz val="12"/>
      <name val="Tahoma"/>
      <family val="2"/>
      <charset val="1"/>
    </font>
    <font>
      <b val="true"/>
      <sz val="12"/>
      <name val="Tahoma"/>
      <family val="2"/>
      <charset val="1"/>
    </font>
    <font>
      <i val="true"/>
      <sz val="12"/>
      <name val="Tahoma"/>
      <family val="2"/>
      <charset val="1"/>
    </font>
    <font>
      <b val="true"/>
      <sz val="12"/>
      <color rgb="FFFFFFFF"/>
      <name val="Tahoma"/>
      <family val="2"/>
      <charset val="1"/>
    </font>
    <font>
      <sz val="10"/>
      <name val="Arial"/>
      <family val="2"/>
    </font>
    <font>
      <b val="true"/>
      <sz val="12"/>
      <color rgb="FF000000"/>
      <name val="Tahoma"/>
      <family val="2"/>
      <charset val="1"/>
    </font>
    <font>
      <b val="true"/>
      <sz val="12"/>
      <color rgb="FFFF0000"/>
      <name val="Tahoma"/>
      <family val="2"/>
      <charset val="1"/>
    </font>
    <font>
      <b val="true"/>
      <sz val="10"/>
      <name val="Tahoma"/>
      <family val="2"/>
      <charset val="1"/>
    </font>
    <font>
      <u val="single"/>
      <sz val="12"/>
      <color rgb="FF0563C1"/>
      <name val="Tahoma"/>
      <family val="2"/>
      <charset val="1"/>
    </font>
    <font>
      <u val="single"/>
      <sz val="11"/>
      <color rgb="FF0000FF"/>
      <name val="ＭＳ Ｐゴシック"/>
      <family val="3"/>
      <charset val="128"/>
    </font>
    <font>
      <sz val="12"/>
      <color rgb="FF000000"/>
      <name val="Tahoma"/>
      <family val="2"/>
      <charset val="1"/>
    </font>
    <font>
      <sz val="12"/>
      <color rgb="FFFFFFFF"/>
      <name val="Tahoma"/>
      <family val="2"/>
      <charset val="1"/>
    </font>
    <font>
      <b val="true"/>
      <sz val="12"/>
      <color rgb="FF0000FF"/>
      <name val="Tahoma"/>
      <family val="2"/>
      <charset val="1"/>
    </font>
    <font>
      <b val="true"/>
      <sz val="12"/>
      <color rgb="FFFFFFFF"/>
      <name val="Cambria"/>
      <family val="0"/>
      <charset val="1"/>
    </font>
    <font>
      <sz val="10"/>
      <color rgb="FFFF0000"/>
      <name val="Tahoma"/>
      <family val="2"/>
      <charset val="1"/>
    </font>
    <font>
      <sz val="12"/>
      <color rgb="FFFF0000"/>
      <name val="Tahoma"/>
      <family val="2"/>
      <charset val="1"/>
    </font>
    <font>
      <sz val="10"/>
      <color rgb="FF000000"/>
      <name val="Tahoma"/>
      <family val="2"/>
      <charset val="1"/>
    </font>
    <font>
      <b val="true"/>
      <i val="true"/>
      <sz val="12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B5CAD"/>
        <bgColor rgb="FF0563C1"/>
      </patternFill>
    </fill>
    <fill>
      <patternFill patternType="solid">
        <fgColor theme="6" tint="-0.25"/>
        <bgColor rgb="FF808080"/>
      </patternFill>
    </fill>
    <fill>
      <patternFill patternType="solid">
        <fgColor rgb="FFCCFFFF"/>
        <bgColor rgb="FFCC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3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2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3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" xfId="23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3" borderId="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7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8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8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2" fillId="0" borderId="8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9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7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8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8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9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1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11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1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2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8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8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3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0" fontId="24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5" fillId="5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3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4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22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5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3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" borderId="25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9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2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3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6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27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8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9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0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0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3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32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3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unctional Test Case v1.0" xfId="21"/>
    <cellStyle name="Normal_Sheet1" xfId="22"/>
    <cellStyle name="Normal_Template_UnitTest Case_v0.9" xfId="23"/>
    <cellStyle name="標準_結合試験(AllOvertheWorld)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B5CAD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1</xdr:row>
      <xdr:rowOff>88920</xdr:rowOff>
    </xdr:from>
    <xdr:to>
      <xdr:col>2</xdr:col>
      <xdr:colOff>199800</xdr:colOff>
      <xdr:row>1</xdr:row>
      <xdr:rowOff>786960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114480" y="250920"/>
          <a:ext cx="2133360" cy="69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1" width="16.88"/>
    <col collapsed="false" customWidth="true" hidden="false" outlineLevel="0" max="2" min="2" style="2" width="10"/>
    <col collapsed="false" customWidth="true" hidden="false" outlineLevel="0" max="3" min="3" style="2" width="14.38"/>
    <col collapsed="false" customWidth="true" hidden="false" outlineLevel="0" max="4" min="4" style="2" width="8"/>
    <col collapsed="false" customWidth="true" hidden="false" outlineLevel="0" max="5" min="5" style="2" width="38"/>
    <col collapsed="false" customWidth="true" hidden="false" outlineLevel="0" max="6" min="6" style="2" width="48.12"/>
    <col collapsed="false" customWidth="false" hidden="false" outlineLevel="0" max="256" min="7" style="2" width="9"/>
    <col collapsed="false" customWidth="true" hidden="false" outlineLevel="0" max="257" min="257" style="2" width="28.12"/>
    <col collapsed="false" customWidth="true" hidden="false" outlineLevel="0" max="258" min="258" style="2" width="10"/>
    <col collapsed="false" customWidth="true" hidden="false" outlineLevel="0" max="259" min="259" style="2" width="14.38"/>
    <col collapsed="false" customWidth="true" hidden="false" outlineLevel="0" max="260" min="260" style="2" width="8"/>
    <col collapsed="false" customWidth="true" hidden="false" outlineLevel="0" max="261" min="261" style="2" width="38"/>
    <col collapsed="false" customWidth="true" hidden="false" outlineLevel="0" max="262" min="262" style="2" width="48.12"/>
    <col collapsed="false" customWidth="false" hidden="false" outlineLevel="0" max="512" min="263" style="2" width="9"/>
    <col collapsed="false" customWidth="true" hidden="false" outlineLevel="0" max="513" min="513" style="2" width="28.12"/>
    <col collapsed="false" customWidth="true" hidden="false" outlineLevel="0" max="514" min="514" style="2" width="10"/>
    <col collapsed="false" customWidth="true" hidden="false" outlineLevel="0" max="515" min="515" style="2" width="14.38"/>
    <col collapsed="false" customWidth="true" hidden="false" outlineLevel="0" max="516" min="516" style="2" width="8"/>
    <col collapsed="false" customWidth="true" hidden="false" outlineLevel="0" max="517" min="517" style="2" width="38"/>
    <col collapsed="false" customWidth="true" hidden="false" outlineLevel="0" max="518" min="518" style="2" width="48.12"/>
    <col collapsed="false" customWidth="false" hidden="false" outlineLevel="0" max="768" min="519" style="2" width="9"/>
    <col collapsed="false" customWidth="true" hidden="false" outlineLevel="0" max="769" min="769" style="2" width="28.12"/>
    <col collapsed="false" customWidth="true" hidden="false" outlineLevel="0" max="770" min="770" style="2" width="10"/>
    <col collapsed="false" customWidth="true" hidden="false" outlineLevel="0" max="771" min="771" style="2" width="14.38"/>
    <col collapsed="false" customWidth="true" hidden="false" outlineLevel="0" max="772" min="772" style="2" width="8"/>
    <col collapsed="false" customWidth="true" hidden="false" outlineLevel="0" max="773" min="773" style="2" width="38"/>
    <col collapsed="false" customWidth="true" hidden="false" outlineLevel="0" max="774" min="774" style="2" width="48.12"/>
    <col collapsed="false" customWidth="false" hidden="false" outlineLevel="0" max="1024" min="775" style="2" width="9"/>
    <col collapsed="false" customWidth="true" hidden="false" outlineLevel="0" max="1025" min="1025" style="2" width="28.12"/>
    <col collapsed="false" customWidth="true" hidden="false" outlineLevel="0" max="1026" min="1026" style="2" width="10"/>
    <col collapsed="false" customWidth="true" hidden="false" outlineLevel="0" max="1027" min="1027" style="2" width="14.38"/>
    <col collapsed="false" customWidth="true" hidden="false" outlineLevel="0" max="1028" min="1028" style="2" width="8"/>
    <col collapsed="false" customWidth="true" hidden="false" outlineLevel="0" max="1029" min="1029" style="2" width="38"/>
    <col collapsed="false" customWidth="true" hidden="false" outlineLevel="0" max="1030" min="1030" style="2" width="48.12"/>
    <col collapsed="false" customWidth="false" hidden="false" outlineLevel="0" max="1280" min="1031" style="2" width="9"/>
    <col collapsed="false" customWidth="true" hidden="false" outlineLevel="0" max="1281" min="1281" style="2" width="28.12"/>
    <col collapsed="false" customWidth="true" hidden="false" outlineLevel="0" max="1282" min="1282" style="2" width="10"/>
    <col collapsed="false" customWidth="true" hidden="false" outlineLevel="0" max="1283" min="1283" style="2" width="14.38"/>
    <col collapsed="false" customWidth="true" hidden="false" outlineLevel="0" max="1284" min="1284" style="2" width="8"/>
    <col collapsed="false" customWidth="true" hidden="false" outlineLevel="0" max="1285" min="1285" style="2" width="38"/>
    <col collapsed="false" customWidth="true" hidden="false" outlineLevel="0" max="1286" min="1286" style="2" width="48.12"/>
    <col collapsed="false" customWidth="false" hidden="false" outlineLevel="0" max="1536" min="1287" style="2" width="9"/>
    <col collapsed="false" customWidth="true" hidden="false" outlineLevel="0" max="1537" min="1537" style="2" width="28.12"/>
    <col collapsed="false" customWidth="true" hidden="false" outlineLevel="0" max="1538" min="1538" style="2" width="10"/>
    <col collapsed="false" customWidth="true" hidden="false" outlineLevel="0" max="1539" min="1539" style="2" width="14.38"/>
    <col collapsed="false" customWidth="true" hidden="false" outlineLevel="0" max="1540" min="1540" style="2" width="8"/>
    <col collapsed="false" customWidth="true" hidden="false" outlineLevel="0" max="1541" min="1541" style="2" width="38"/>
    <col collapsed="false" customWidth="true" hidden="false" outlineLevel="0" max="1542" min="1542" style="2" width="48.12"/>
    <col collapsed="false" customWidth="false" hidden="false" outlineLevel="0" max="1792" min="1543" style="2" width="9"/>
    <col collapsed="false" customWidth="true" hidden="false" outlineLevel="0" max="1793" min="1793" style="2" width="28.12"/>
    <col collapsed="false" customWidth="true" hidden="false" outlineLevel="0" max="1794" min="1794" style="2" width="10"/>
    <col collapsed="false" customWidth="true" hidden="false" outlineLevel="0" max="1795" min="1795" style="2" width="14.38"/>
    <col collapsed="false" customWidth="true" hidden="false" outlineLevel="0" max="1796" min="1796" style="2" width="8"/>
    <col collapsed="false" customWidth="true" hidden="false" outlineLevel="0" max="1797" min="1797" style="2" width="38"/>
    <col collapsed="false" customWidth="true" hidden="false" outlineLevel="0" max="1798" min="1798" style="2" width="48.12"/>
    <col collapsed="false" customWidth="false" hidden="false" outlineLevel="0" max="2048" min="1799" style="2" width="9"/>
    <col collapsed="false" customWidth="true" hidden="false" outlineLevel="0" max="2049" min="2049" style="2" width="28.12"/>
    <col collapsed="false" customWidth="true" hidden="false" outlineLevel="0" max="2050" min="2050" style="2" width="10"/>
    <col collapsed="false" customWidth="true" hidden="false" outlineLevel="0" max="2051" min="2051" style="2" width="14.38"/>
    <col collapsed="false" customWidth="true" hidden="false" outlineLevel="0" max="2052" min="2052" style="2" width="8"/>
    <col collapsed="false" customWidth="true" hidden="false" outlineLevel="0" max="2053" min="2053" style="2" width="38"/>
    <col collapsed="false" customWidth="true" hidden="false" outlineLevel="0" max="2054" min="2054" style="2" width="48.12"/>
    <col collapsed="false" customWidth="false" hidden="false" outlineLevel="0" max="2304" min="2055" style="2" width="9"/>
    <col collapsed="false" customWidth="true" hidden="false" outlineLevel="0" max="2305" min="2305" style="2" width="28.12"/>
    <col collapsed="false" customWidth="true" hidden="false" outlineLevel="0" max="2306" min="2306" style="2" width="10"/>
    <col collapsed="false" customWidth="true" hidden="false" outlineLevel="0" max="2307" min="2307" style="2" width="14.38"/>
    <col collapsed="false" customWidth="true" hidden="false" outlineLevel="0" max="2308" min="2308" style="2" width="8"/>
    <col collapsed="false" customWidth="true" hidden="false" outlineLevel="0" max="2309" min="2309" style="2" width="38"/>
    <col collapsed="false" customWidth="true" hidden="false" outlineLevel="0" max="2310" min="2310" style="2" width="48.12"/>
    <col collapsed="false" customWidth="false" hidden="false" outlineLevel="0" max="2560" min="2311" style="2" width="9"/>
    <col collapsed="false" customWidth="true" hidden="false" outlineLevel="0" max="2561" min="2561" style="2" width="28.12"/>
    <col collapsed="false" customWidth="true" hidden="false" outlineLevel="0" max="2562" min="2562" style="2" width="10"/>
    <col collapsed="false" customWidth="true" hidden="false" outlineLevel="0" max="2563" min="2563" style="2" width="14.38"/>
    <col collapsed="false" customWidth="true" hidden="false" outlineLevel="0" max="2564" min="2564" style="2" width="8"/>
    <col collapsed="false" customWidth="true" hidden="false" outlineLevel="0" max="2565" min="2565" style="2" width="38"/>
    <col collapsed="false" customWidth="true" hidden="false" outlineLevel="0" max="2566" min="2566" style="2" width="48.12"/>
    <col collapsed="false" customWidth="false" hidden="false" outlineLevel="0" max="2816" min="2567" style="2" width="9"/>
    <col collapsed="false" customWidth="true" hidden="false" outlineLevel="0" max="2817" min="2817" style="2" width="28.12"/>
    <col collapsed="false" customWidth="true" hidden="false" outlineLevel="0" max="2818" min="2818" style="2" width="10"/>
    <col collapsed="false" customWidth="true" hidden="false" outlineLevel="0" max="2819" min="2819" style="2" width="14.38"/>
    <col collapsed="false" customWidth="true" hidden="false" outlineLevel="0" max="2820" min="2820" style="2" width="8"/>
    <col collapsed="false" customWidth="true" hidden="false" outlineLevel="0" max="2821" min="2821" style="2" width="38"/>
    <col collapsed="false" customWidth="true" hidden="false" outlineLevel="0" max="2822" min="2822" style="2" width="48.12"/>
    <col collapsed="false" customWidth="false" hidden="false" outlineLevel="0" max="3072" min="2823" style="2" width="9"/>
    <col collapsed="false" customWidth="true" hidden="false" outlineLevel="0" max="3073" min="3073" style="2" width="28.12"/>
    <col collapsed="false" customWidth="true" hidden="false" outlineLevel="0" max="3074" min="3074" style="2" width="10"/>
    <col collapsed="false" customWidth="true" hidden="false" outlineLevel="0" max="3075" min="3075" style="2" width="14.38"/>
    <col collapsed="false" customWidth="true" hidden="false" outlineLevel="0" max="3076" min="3076" style="2" width="8"/>
    <col collapsed="false" customWidth="true" hidden="false" outlineLevel="0" max="3077" min="3077" style="2" width="38"/>
    <col collapsed="false" customWidth="true" hidden="false" outlineLevel="0" max="3078" min="3078" style="2" width="48.12"/>
    <col collapsed="false" customWidth="false" hidden="false" outlineLevel="0" max="3328" min="3079" style="2" width="9"/>
    <col collapsed="false" customWidth="true" hidden="false" outlineLevel="0" max="3329" min="3329" style="2" width="28.12"/>
    <col collapsed="false" customWidth="true" hidden="false" outlineLevel="0" max="3330" min="3330" style="2" width="10"/>
    <col collapsed="false" customWidth="true" hidden="false" outlineLevel="0" max="3331" min="3331" style="2" width="14.38"/>
    <col collapsed="false" customWidth="true" hidden="false" outlineLevel="0" max="3332" min="3332" style="2" width="8"/>
    <col collapsed="false" customWidth="true" hidden="false" outlineLevel="0" max="3333" min="3333" style="2" width="38"/>
    <col collapsed="false" customWidth="true" hidden="false" outlineLevel="0" max="3334" min="3334" style="2" width="48.12"/>
    <col collapsed="false" customWidth="false" hidden="false" outlineLevel="0" max="3584" min="3335" style="2" width="9"/>
    <col collapsed="false" customWidth="true" hidden="false" outlineLevel="0" max="3585" min="3585" style="2" width="28.12"/>
    <col collapsed="false" customWidth="true" hidden="false" outlineLevel="0" max="3586" min="3586" style="2" width="10"/>
    <col collapsed="false" customWidth="true" hidden="false" outlineLevel="0" max="3587" min="3587" style="2" width="14.38"/>
    <col collapsed="false" customWidth="true" hidden="false" outlineLevel="0" max="3588" min="3588" style="2" width="8"/>
    <col collapsed="false" customWidth="true" hidden="false" outlineLevel="0" max="3589" min="3589" style="2" width="38"/>
    <col collapsed="false" customWidth="true" hidden="false" outlineLevel="0" max="3590" min="3590" style="2" width="48.12"/>
    <col collapsed="false" customWidth="false" hidden="false" outlineLevel="0" max="3840" min="3591" style="2" width="9"/>
    <col collapsed="false" customWidth="true" hidden="false" outlineLevel="0" max="3841" min="3841" style="2" width="28.12"/>
    <col collapsed="false" customWidth="true" hidden="false" outlineLevel="0" max="3842" min="3842" style="2" width="10"/>
    <col collapsed="false" customWidth="true" hidden="false" outlineLevel="0" max="3843" min="3843" style="2" width="14.38"/>
    <col collapsed="false" customWidth="true" hidden="false" outlineLevel="0" max="3844" min="3844" style="2" width="8"/>
    <col collapsed="false" customWidth="true" hidden="false" outlineLevel="0" max="3845" min="3845" style="2" width="38"/>
    <col collapsed="false" customWidth="true" hidden="false" outlineLevel="0" max="3846" min="3846" style="2" width="48.12"/>
    <col collapsed="false" customWidth="false" hidden="false" outlineLevel="0" max="4096" min="3847" style="2" width="9"/>
    <col collapsed="false" customWidth="true" hidden="false" outlineLevel="0" max="4097" min="4097" style="2" width="28.12"/>
    <col collapsed="false" customWidth="true" hidden="false" outlineLevel="0" max="4098" min="4098" style="2" width="10"/>
    <col collapsed="false" customWidth="true" hidden="false" outlineLevel="0" max="4099" min="4099" style="2" width="14.38"/>
    <col collapsed="false" customWidth="true" hidden="false" outlineLevel="0" max="4100" min="4100" style="2" width="8"/>
    <col collapsed="false" customWidth="true" hidden="false" outlineLevel="0" max="4101" min="4101" style="2" width="38"/>
    <col collapsed="false" customWidth="true" hidden="false" outlineLevel="0" max="4102" min="4102" style="2" width="48.12"/>
    <col collapsed="false" customWidth="false" hidden="false" outlineLevel="0" max="4352" min="4103" style="2" width="9"/>
    <col collapsed="false" customWidth="true" hidden="false" outlineLevel="0" max="4353" min="4353" style="2" width="28.12"/>
    <col collapsed="false" customWidth="true" hidden="false" outlineLevel="0" max="4354" min="4354" style="2" width="10"/>
    <col collapsed="false" customWidth="true" hidden="false" outlineLevel="0" max="4355" min="4355" style="2" width="14.38"/>
    <col collapsed="false" customWidth="true" hidden="false" outlineLevel="0" max="4356" min="4356" style="2" width="8"/>
    <col collapsed="false" customWidth="true" hidden="false" outlineLevel="0" max="4357" min="4357" style="2" width="38"/>
    <col collapsed="false" customWidth="true" hidden="false" outlineLevel="0" max="4358" min="4358" style="2" width="48.12"/>
    <col collapsed="false" customWidth="false" hidden="false" outlineLevel="0" max="4608" min="4359" style="2" width="9"/>
    <col collapsed="false" customWidth="true" hidden="false" outlineLevel="0" max="4609" min="4609" style="2" width="28.12"/>
    <col collapsed="false" customWidth="true" hidden="false" outlineLevel="0" max="4610" min="4610" style="2" width="10"/>
    <col collapsed="false" customWidth="true" hidden="false" outlineLevel="0" max="4611" min="4611" style="2" width="14.38"/>
    <col collapsed="false" customWidth="true" hidden="false" outlineLevel="0" max="4612" min="4612" style="2" width="8"/>
    <col collapsed="false" customWidth="true" hidden="false" outlineLevel="0" max="4613" min="4613" style="2" width="38"/>
    <col collapsed="false" customWidth="true" hidden="false" outlineLevel="0" max="4614" min="4614" style="2" width="48.12"/>
    <col collapsed="false" customWidth="false" hidden="false" outlineLevel="0" max="4864" min="4615" style="2" width="9"/>
    <col collapsed="false" customWidth="true" hidden="false" outlineLevel="0" max="4865" min="4865" style="2" width="28.12"/>
    <col collapsed="false" customWidth="true" hidden="false" outlineLevel="0" max="4866" min="4866" style="2" width="10"/>
    <col collapsed="false" customWidth="true" hidden="false" outlineLevel="0" max="4867" min="4867" style="2" width="14.38"/>
    <col collapsed="false" customWidth="true" hidden="false" outlineLevel="0" max="4868" min="4868" style="2" width="8"/>
    <col collapsed="false" customWidth="true" hidden="false" outlineLevel="0" max="4869" min="4869" style="2" width="38"/>
    <col collapsed="false" customWidth="true" hidden="false" outlineLevel="0" max="4870" min="4870" style="2" width="48.12"/>
    <col collapsed="false" customWidth="false" hidden="false" outlineLevel="0" max="5120" min="4871" style="2" width="9"/>
    <col collapsed="false" customWidth="true" hidden="false" outlineLevel="0" max="5121" min="5121" style="2" width="28.12"/>
    <col collapsed="false" customWidth="true" hidden="false" outlineLevel="0" max="5122" min="5122" style="2" width="10"/>
    <col collapsed="false" customWidth="true" hidden="false" outlineLevel="0" max="5123" min="5123" style="2" width="14.38"/>
    <col collapsed="false" customWidth="true" hidden="false" outlineLevel="0" max="5124" min="5124" style="2" width="8"/>
    <col collapsed="false" customWidth="true" hidden="false" outlineLevel="0" max="5125" min="5125" style="2" width="38"/>
    <col collapsed="false" customWidth="true" hidden="false" outlineLevel="0" max="5126" min="5126" style="2" width="48.12"/>
    <col collapsed="false" customWidth="false" hidden="false" outlineLevel="0" max="5376" min="5127" style="2" width="9"/>
    <col collapsed="false" customWidth="true" hidden="false" outlineLevel="0" max="5377" min="5377" style="2" width="28.12"/>
    <col collapsed="false" customWidth="true" hidden="false" outlineLevel="0" max="5378" min="5378" style="2" width="10"/>
    <col collapsed="false" customWidth="true" hidden="false" outlineLevel="0" max="5379" min="5379" style="2" width="14.38"/>
    <col collapsed="false" customWidth="true" hidden="false" outlineLevel="0" max="5380" min="5380" style="2" width="8"/>
    <col collapsed="false" customWidth="true" hidden="false" outlineLevel="0" max="5381" min="5381" style="2" width="38"/>
    <col collapsed="false" customWidth="true" hidden="false" outlineLevel="0" max="5382" min="5382" style="2" width="48.12"/>
    <col collapsed="false" customWidth="false" hidden="false" outlineLevel="0" max="5632" min="5383" style="2" width="9"/>
    <col collapsed="false" customWidth="true" hidden="false" outlineLevel="0" max="5633" min="5633" style="2" width="28.12"/>
    <col collapsed="false" customWidth="true" hidden="false" outlineLevel="0" max="5634" min="5634" style="2" width="10"/>
    <col collapsed="false" customWidth="true" hidden="false" outlineLevel="0" max="5635" min="5635" style="2" width="14.38"/>
    <col collapsed="false" customWidth="true" hidden="false" outlineLevel="0" max="5636" min="5636" style="2" width="8"/>
    <col collapsed="false" customWidth="true" hidden="false" outlineLevel="0" max="5637" min="5637" style="2" width="38"/>
    <col collapsed="false" customWidth="true" hidden="false" outlineLevel="0" max="5638" min="5638" style="2" width="48.12"/>
    <col collapsed="false" customWidth="false" hidden="false" outlineLevel="0" max="5888" min="5639" style="2" width="9"/>
    <col collapsed="false" customWidth="true" hidden="false" outlineLevel="0" max="5889" min="5889" style="2" width="28.12"/>
    <col collapsed="false" customWidth="true" hidden="false" outlineLevel="0" max="5890" min="5890" style="2" width="10"/>
    <col collapsed="false" customWidth="true" hidden="false" outlineLevel="0" max="5891" min="5891" style="2" width="14.38"/>
    <col collapsed="false" customWidth="true" hidden="false" outlineLevel="0" max="5892" min="5892" style="2" width="8"/>
    <col collapsed="false" customWidth="true" hidden="false" outlineLevel="0" max="5893" min="5893" style="2" width="38"/>
    <col collapsed="false" customWidth="true" hidden="false" outlineLevel="0" max="5894" min="5894" style="2" width="48.12"/>
    <col collapsed="false" customWidth="false" hidden="false" outlineLevel="0" max="6144" min="5895" style="2" width="9"/>
    <col collapsed="false" customWidth="true" hidden="false" outlineLevel="0" max="6145" min="6145" style="2" width="28.12"/>
    <col collapsed="false" customWidth="true" hidden="false" outlineLevel="0" max="6146" min="6146" style="2" width="10"/>
    <col collapsed="false" customWidth="true" hidden="false" outlineLevel="0" max="6147" min="6147" style="2" width="14.38"/>
    <col collapsed="false" customWidth="true" hidden="false" outlineLevel="0" max="6148" min="6148" style="2" width="8"/>
    <col collapsed="false" customWidth="true" hidden="false" outlineLevel="0" max="6149" min="6149" style="2" width="38"/>
    <col collapsed="false" customWidth="true" hidden="false" outlineLevel="0" max="6150" min="6150" style="2" width="48.12"/>
    <col collapsed="false" customWidth="false" hidden="false" outlineLevel="0" max="6400" min="6151" style="2" width="9"/>
    <col collapsed="false" customWidth="true" hidden="false" outlineLevel="0" max="6401" min="6401" style="2" width="28.12"/>
    <col collapsed="false" customWidth="true" hidden="false" outlineLevel="0" max="6402" min="6402" style="2" width="10"/>
    <col collapsed="false" customWidth="true" hidden="false" outlineLevel="0" max="6403" min="6403" style="2" width="14.38"/>
    <col collapsed="false" customWidth="true" hidden="false" outlineLevel="0" max="6404" min="6404" style="2" width="8"/>
    <col collapsed="false" customWidth="true" hidden="false" outlineLevel="0" max="6405" min="6405" style="2" width="38"/>
    <col collapsed="false" customWidth="true" hidden="false" outlineLevel="0" max="6406" min="6406" style="2" width="48.12"/>
    <col collapsed="false" customWidth="false" hidden="false" outlineLevel="0" max="6656" min="6407" style="2" width="9"/>
    <col collapsed="false" customWidth="true" hidden="false" outlineLevel="0" max="6657" min="6657" style="2" width="28.12"/>
    <col collapsed="false" customWidth="true" hidden="false" outlineLevel="0" max="6658" min="6658" style="2" width="10"/>
    <col collapsed="false" customWidth="true" hidden="false" outlineLevel="0" max="6659" min="6659" style="2" width="14.38"/>
    <col collapsed="false" customWidth="true" hidden="false" outlineLevel="0" max="6660" min="6660" style="2" width="8"/>
    <col collapsed="false" customWidth="true" hidden="false" outlineLevel="0" max="6661" min="6661" style="2" width="38"/>
    <col collapsed="false" customWidth="true" hidden="false" outlineLevel="0" max="6662" min="6662" style="2" width="48.12"/>
    <col collapsed="false" customWidth="false" hidden="false" outlineLevel="0" max="6912" min="6663" style="2" width="9"/>
    <col collapsed="false" customWidth="true" hidden="false" outlineLevel="0" max="6913" min="6913" style="2" width="28.12"/>
    <col collapsed="false" customWidth="true" hidden="false" outlineLevel="0" max="6914" min="6914" style="2" width="10"/>
    <col collapsed="false" customWidth="true" hidden="false" outlineLevel="0" max="6915" min="6915" style="2" width="14.38"/>
    <col collapsed="false" customWidth="true" hidden="false" outlineLevel="0" max="6916" min="6916" style="2" width="8"/>
    <col collapsed="false" customWidth="true" hidden="false" outlineLevel="0" max="6917" min="6917" style="2" width="38"/>
    <col collapsed="false" customWidth="true" hidden="false" outlineLevel="0" max="6918" min="6918" style="2" width="48.12"/>
    <col collapsed="false" customWidth="false" hidden="false" outlineLevel="0" max="7168" min="6919" style="2" width="9"/>
    <col collapsed="false" customWidth="true" hidden="false" outlineLevel="0" max="7169" min="7169" style="2" width="28.12"/>
    <col collapsed="false" customWidth="true" hidden="false" outlineLevel="0" max="7170" min="7170" style="2" width="10"/>
    <col collapsed="false" customWidth="true" hidden="false" outlineLevel="0" max="7171" min="7171" style="2" width="14.38"/>
    <col collapsed="false" customWidth="true" hidden="false" outlineLevel="0" max="7172" min="7172" style="2" width="8"/>
    <col collapsed="false" customWidth="true" hidden="false" outlineLevel="0" max="7173" min="7173" style="2" width="38"/>
    <col collapsed="false" customWidth="true" hidden="false" outlineLevel="0" max="7174" min="7174" style="2" width="48.12"/>
    <col collapsed="false" customWidth="false" hidden="false" outlineLevel="0" max="7424" min="7175" style="2" width="9"/>
    <col collapsed="false" customWidth="true" hidden="false" outlineLevel="0" max="7425" min="7425" style="2" width="28.12"/>
    <col collapsed="false" customWidth="true" hidden="false" outlineLevel="0" max="7426" min="7426" style="2" width="10"/>
    <col collapsed="false" customWidth="true" hidden="false" outlineLevel="0" max="7427" min="7427" style="2" width="14.38"/>
    <col collapsed="false" customWidth="true" hidden="false" outlineLevel="0" max="7428" min="7428" style="2" width="8"/>
    <col collapsed="false" customWidth="true" hidden="false" outlineLevel="0" max="7429" min="7429" style="2" width="38"/>
    <col collapsed="false" customWidth="true" hidden="false" outlineLevel="0" max="7430" min="7430" style="2" width="48.12"/>
    <col collapsed="false" customWidth="false" hidden="false" outlineLevel="0" max="7680" min="7431" style="2" width="9"/>
    <col collapsed="false" customWidth="true" hidden="false" outlineLevel="0" max="7681" min="7681" style="2" width="28.12"/>
    <col collapsed="false" customWidth="true" hidden="false" outlineLevel="0" max="7682" min="7682" style="2" width="10"/>
    <col collapsed="false" customWidth="true" hidden="false" outlineLevel="0" max="7683" min="7683" style="2" width="14.38"/>
    <col collapsed="false" customWidth="true" hidden="false" outlineLevel="0" max="7684" min="7684" style="2" width="8"/>
    <col collapsed="false" customWidth="true" hidden="false" outlineLevel="0" max="7685" min="7685" style="2" width="38"/>
    <col collapsed="false" customWidth="true" hidden="false" outlineLevel="0" max="7686" min="7686" style="2" width="48.12"/>
    <col collapsed="false" customWidth="false" hidden="false" outlineLevel="0" max="7936" min="7687" style="2" width="9"/>
    <col collapsed="false" customWidth="true" hidden="false" outlineLevel="0" max="7937" min="7937" style="2" width="28.12"/>
    <col collapsed="false" customWidth="true" hidden="false" outlineLevel="0" max="7938" min="7938" style="2" width="10"/>
    <col collapsed="false" customWidth="true" hidden="false" outlineLevel="0" max="7939" min="7939" style="2" width="14.38"/>
    <col collapsed="false" customWidth="true" hidden="false" outlineLevel="0" max="7940" min="7940" style="2" width="8"/>
    <col collapsed="false" customWidth="true" hidden="false" outlineLevel="0" max="7941" min="7941" style="2" width="38"/>
    <col collapsed="false" customWidth="true" hidden="false" outlineLevel="0" max="7942" min="7942" style="2" width="48.12"/>
    <col collapsed="false" customWidth="false" hidden="false" outlineLevel="0" max="8192" min="7943" style="2" width="9"/>
    <col collapsed="false" customWidth="true" hidden="false" outlineLevel="0" max="8193" min="8193" style="2" width="28.12"/>
    <col collapsed="false" customWidth="true" hidden="false" outlineLevel="0" max="8194" min="8194" style="2" width="10"/>
    <col collapsed="false" customWidth="true" hidden="false" outlineLevel="0" max="8195" min="8195" style="2" width="14.38"/>
    <col collapsed="false" customWidth="true" hidden="false" outlineLevel="0" max="8196" min="8196" style="2" width="8"/>
    <col collapsed="false" customWidth="true" hidden="false" outlineLevel="0" max="8197" min="8197" style="2" width="38"/>
    <col collapsed="false" customWidth="true" hidden="false" outlineLevel="0" max="8198" min="8198" style="2" width="48.12"/>
    <col collapsed="false" customWidth="false" hidden="false" outlineLevel="0" max="8448" min="8199" style="2" width="9"/>
    <col collapsed="false" customWidth="true" hidden="false" outlineLevel="0" max="8449" min="8449" style="2" width="28.12"/>
    <col collapsed="false" customWidth="true" hidden="false" outlineLevel="0" max="8450" min="8450" style="2" width="10"/>
    <col collapsed="false" customWidth="true" hidden="false" outlineLevel="0" max="8451" min="8451" style="2" width="14.38"/>
    <col collapsed="false" customWidth="true" hidden="false" outlineLevel="0" max="8452" min="8452" style="2" width="8"/>
    <col collapsed="false" customWidth="true" hidden="false" outlineLevel="0" max="8453" min="8453" style="2" width="38"/>
    <col collapsed="false" customWidth="true" hidden="false" outlineLevel="0" max="8454" min="8454" style="2" width="48.12"/>
    <col collapsed="false" customWidth="false" hidden="false" outlineLevel="0" max="8704" min="8455" style="2" width="9"/>
    <col collapsed="false" customWidth="true" hidden="false" outlineLevel="0" max="8705" min="8705" style="2" width="28.12"/>
    <col collapsed="false" customWidth="true" hidden="false" outlineLevel="0" max="8706" min="8706" style="2" width="10"/>
    <col collapsed="false" customWidth="true" hidden="false" outlineLevel="0" max="8707" min="8707" style="2" width="14.38"/>
    <col collapsed="false" customWidth="true" hidden="false" outlineLevel="0" max="8708" min="8708" style="2" width="8"/>
    <col collapsed="false" customWidth="true" hidden="false" outlineLevel="0" max="8709" min="8709" style="2" width="38"/>
    <col collapsed="false" customWidth="true" hidden="false" outlineLevel="0" max="8710" min="8710" style="2" width="48.12"/>
    <col collapsed="false" customWidth="false" hidden="false" outlineLevel="0" max="8960" min="8711" style="2" width="9"/>
    <col collapsed="false" customWidth="true" hidden="false" outlineLevel="0" max="8961" min="8961" style="2" width="28.12"/>
    <col collapsed="false" customWidth="true" hidden="false" outlineLevel="0" max="8962" min="8962" style="2" width="10"/>
    <col collapsed="false" customWidth="true" hidden="false" outlineLevel="0" max="8963" min="8963" style="2" width="14.38"/>
    <col collapsed="false" customWidth="true" hidden="false" outlineLevel="0" max="8964" min="8964" style="2" width="8"/>
    <col collapsed="false" customWidth="true" hidden="false" outlineLevel="0" max="8965" min="8965" style="2" width="38"/>
    <col collapsed="false" customWidth="true" hidden="false" outlineLevel="0" max="8966" min="8966" style="2" width="48.12"/>
    <col collapsed="false" customWidth="false" hidden="false" outlineLevel="0" max="9216" min="8967" style="2" width="9"/>
    <col collapsed="false" customWidth="true" hidden="false" outlineLevel="0" max="9217" min="9217" style="2" width="28.12"/>
    <col collapsed="false" customWidth="true" hidden="false" outlineLevel="0" max="9218" min="9218" style="2" width="10"/>
    <col collapsed="false" customWidth="true" hidden="false" outlineLevel="0" max="9219" min="9219" style="2" width="14.38"/>
    <col collapsed="false" customWidth="true" hidden="false" outlineLevel="0" max="9220" min="9220" style="2" width="8"/>
    <col collapsed="false" customWidth="true" hidden="false" outlineLevel="0" max="9221" min="9221" style="2" width="38"/>
    <col collapsed="false" customWidth="true" hidden="false" outlineLevel="0" max="9222" min="9222" style="2" width="48.12"/>
    <col collapsed="false" customWidth="false" hidden="false" outlineLevel="0" max="9472" min="9223" style="2" width="9"/>
    <col collapsed="false" customWidth="true" hidden="false" outlineLevel="0" max="9473" min="9473" style="2" width="28.12"/>
    <col collapsed="false" customWidth="true" hidden="false" outlineLevel="0" max="9474" min="9474" style="2" width="10"/>
    <col collapsed="false" customWidth="true" hidden="false" outlineLevel="0" max="9475" min="9475" style="2" width="14.38"/>
    <col collapsed="false" customWidth="true" hidden="false" outlineLevel="0" max="9476" min="9476" style="2" width="8"/>
    <col collapsed="false" customWidth="true" hidden="false" outlineLevel="0" max="9477" min="9477" style="2" width="38"/>
    <col collapsed="false" customWidth="true" hidden="false" outlineLevel="0" max="9478" min="9478" style="2" width="48.12"/>
    <col collapsed="false" customWidth="false" hidden="false" outlineLevel="0" max="9728" min="9479" style="2" width="9"/>
    <col collapsed="false" customWidth="true" hidden="false" outlineLevel="0" max="9729" min="9729" style="2" width="28.12"/>
    <col collapsed="false" customWidth="true" hidden="false" outlineLevel="0" max="9730" min="9730" style="2" width="10"/>
    <col collapsed="false" customWidth="true" hidden="false" outlineLevel="0" max="9731" min="9731" style="2" width="14.38"/>
    <col collapsed="false" customWidth="true" hidden="false" outlineLevel="0" max="9732" min="9732" style="2" width="8"/>
    <col collapsed="false" customWidth="true" hidden="false" outlineLevel="0" max="9733" min="9733" style="2" width="38"/>
    <col collapsed="false" customWidth="true" hidden="false" outlineLevel="0" max="9734" min="9734" style="2" width="48.12"/>
    <col collapsed="false" customWidth="false" hidden="false" outlineLevel="0" max="9984" min="9735" style="2" width="9"/>
    <col collapsed="false" customWidth="true" hidden="false" outlineLevel="0" max="9985" min="9985" style="2" width="28.12"/>
    <col collapsed="false" customWidth="true" hidden="false" outlineLevel="0" max="9986" min="9986" style="2" width="10"/>
    <col collapsed="false" customWidth="true" hidden="false" outlineLevel="0" max="9987" min="9987" style="2" width="14.38"/>
    <col collapsed="false" customWidth="true" hidden="false" outlineLevel="0" max="9988" min="9988" style="2" width="8"/>
    <col collapsed="false" customWidth="true" hidden="false" outlineLevel="0" max="9989" min="9989" style="2" width="38"/>
    <col collapsed="false" customWidth="true" hidden="false" outlineLevel="0" max="9990" min="9990" style="2" width="48.12"/>
    <col collapsed="false" customWidth="false" hidden="false" outlineLevel="0" max="10240" min="9991" style="2" width="9"/>
    <col collapsed="false" customWidth="true" hidden="false" outlineLevel="0" max="10241" min="10241" style="2" width="28.12"/>
    <col collapsed="false" customWidth="true" hidden="false" outlineLevel="0" max="10242" min="10242" style="2" width="10"/>
    <col collapsed="false" customWidth="true" hidden="false" outlineLevel="0" max="10243" min="10243" style="2" width="14.38"/>
    <col collapsed="false" customWidth="true" hidden="false" outlineLevel="0" max="10244" min="10244" style="2" width="8"/>
    <col collapsed="false" customWidth="true" hidden="false" outlineLevel="0" max="10245" min="10245" style="2" width="38"/>
    <col collapsed="false" customWidth="true" hidden="false" outlineLevel="0" max="10246" min="10246" style="2" width="48.12"/>
    <col collapsed="false" customWidth="false" hidden="false" outlineLevel="0" max="10496" min="10247" style="2" width="9"/>
    <col collapsed="false" customWidth="true" hidden="false" outlineLevel="0" max="10497" min="10497" style="2" width="28.12"/>
    <col collapsed="false" customWidth="true" hidden="false" outlineLevel="0" max="10498" min="10498" style="2" width="10"/>
    <col collapsed="false" customWidth="true" hidden="false" outlineLevel="0" max="10499" min="10499" style="2" width="14.38"/>
    <col collapsed="false" customWidth="true" hidden="false" outlineLevel="0" max="10500" min="10500" style="2" width="8"/>
    <col collapsed="false" customWidth="true" hidden="false" outlineLevel="0" max="10501" min="10501" style="2" width="38"/>
    <col collapsed="false" customWidth="true" hidden="false" outlineLevel="0" max="10502" min="10502" style="2" width="48.12"/>
    <col collapsed="false" customWidth="false" hidden="false" outlineLevel="0" max="10752" min="10503" style="2" width="9"/>
    <col collapsed="false" customWidth="true" hidden="false" outlineLevel="0" max="10753" min="10753" style="2" width="28.12"/>
    <col collapsed="false" customWidth="true" hidden="false" outlineLevel="0" max="10754" min="10754" style="2" width="10"/>
    <col collapsed="false" customWidth="true" hidden="false" outlineLevel="0" max="10755" min="10755" style="2" width="14.38"/>
    <col collapsed="false" customWidth="true" hidden="false" outlineLevel="0" max="10756" min="10756" style="2" width="8"/>
    <col collapsed="false" customWidth="true" hidden="false" outlineLevel="0" max="10757" min="10757" style="2" width="38"/>
    <col collapsed="false" customWidth="true" hidden="false" outlineLevel="0" max="10758" min="10758" style="2" width="48.12"/>
    <col collapsed="false" customWidth="false" hidden="false" outlineLevel="0" max="11008" min="10759" style="2" width="9"/>
    <col collapsed="false" customWidth="true" hidden="false" outlineLevel="0" max="11009" min="11009" style="2" width="28.12"/>
    <col collapsed="false" customWidth="true" hidden="false" outlineLevel="0" max="11010" min="11010" style="2" width="10"/>
    <col collapsed="false" customWidth="true" hidden="false" outlineLevel="0" max="11011" min="11011" style="2" width="14.38"/>
    <col collapsed="false" customWidth="true" hidden="false" outlineLevel="0" max="11012" min="11012" style="2" width="8"/>
    <col collapsed="false" customWidth="true" hidden="false" outlineLevel="0" max="11013" min="11013" style="2" width="38"/>
    <col collapsed="false" customWidth="true" hidden="false" outlineLevel="0" max="11014" min="11014" style="2" width="48.12"/>
    <col collapsed="false" customWidth="false" hidden="false" outlineLevel="0" max="11264" min="11015" style="2" width="9"/>
    <col collapsed="false" customWidth="true" hidden="false" outlineLevel="0" max="11265" min="11265" style="2" width="28.12"/>
    <col collapsed="false" customWidth="true" hidden="false" outlineLevel="0" max="11266" min="11266" style="2" width="10"/>
    <col collapsed="false" customWidth="true" hidden="false" outlineLevel="0" max="11267" min="11267" style="2" width="14.38"/>
    <col collapsed="false" customWidth="true" hidden="false" outlineLevel="0" max="11268" min="11268" style="2" width="8"/>
    <col collapsed="false" customWidth="true" hidden="false" outlineLevel="0" max="11269" min="11269" style="2" width="38"/>
    <col collapsed="false" customWidth="true" hidden="false" outlineLevel="0" max="11270" min="11270" style="2" width="48.12"/>
    <col collapsed="false" customWidth="false" hidden="false" outlineLevel="0" max="11520" min="11271" style="2" width="9"/>
    <col collapsed="false" customWidth="true" hidden="false" outlineLevel="0" max="11521" min="11521" style="2" width="28.12"/>
    <col collapsed="false" customWidth="true" hidden="false" outlineLevel="0" max="11522" min="11522" style="2" width="10"/>
    <col collapsed="false" customWidth="true" hidden="false" outlineLevel="0" max="11523" min="11523" style="2" width="14.38"/>
    <col collapsed="false" customWidth="true" hidden="false" outlineLevel="0" max="11524" min="11524" style="2" width="8"/>
    <col collapsed="false" customWidth="true" hidden="false" outlineLevel="0" max="11525" min="11525" style="2" width="38"/>
    <col collapsed="false" customWidth="true" hidden="false" outlineLevel="0" max="11526" min="11526" style="2" width="48.12"/>
    <col collapsed="false" customWidth="false" hidden="false" outlineLevel="0" max="11776" min="11527" style="2" width="9"/>
    <col collapsed="false" customWidth="true" hidden="false" outlineLevel="0" max="11777" min="11777" style="2" width="28.12"/>
    <col collapsed="false" customWidth="true" hidden="false" outlineLevel="0" max="11778" min="11778" style="2" width="10"/>
    <col collapsed="false" customWidth="true" hidden="false" outlineLevel="0" max="11779" min="11779" style="2" width="14.38"/>
    <col collapsed="false" customWidth="true" hidden="false" outlineLevel="0" max="11780" min="11780" style="2" width="8"/>
    <col collapsed="false" customWidth="true" hidden="false" outlineLevel="0" max="11781" min="11781" style="2" width="38"/>
    <col collapsed="false" customWidth="true" hidden="false" outlineLevel="0" max="11782" min="11782" style="2" width="48.12"/>
    <col collapsed="false" customWidth="false" hidden="false" outlineLevel="0" max="12032" min="11783" style="2" width="9"/>
    <col collapsed="false" customWidth="true" hidden="false" outlineLevel="0" max="12033" min="12033" style="2" width="28.12"/>
    <col collapsed="false" customWidth="true" hidden="false" outlineLevel="0" max="12034" min="12034" style="2" width="10"/>
    <col collapsed="false" customWidth="true" hidden="false" outlineLevel="0" max="12035" min="12035" style="2" width="14.38"/>
    <col collapsed="false" customWidth="true" hidden="false" outlineLevel="0" max="12036" min="12036" style="2" width="8"/>
    <col collapsed="false" customWidth="true" hidden="false" outlineLevel="0" max="12037" min="12037" style="2" width="38"/>
    <col collapsed="false" customWidth="true" hidden="false" outlineLevel="0" max="12038" min="12038" style="2" width="48.12"/>
    <col collapsed="false" customWidth="false" hidden="false" outlineLevel="0" max="12288" min="12039" style="2" width="9"/>
    <col collapsed="false" customWidth="true" hidden="false" outlineLevel="0" max="12289" min="12289" style="2" width="28.12"/>
    <col collapsed="false" customWidth="true" hidden="false" outlineLevel="0" max="12290" min="12290" style="2" width="10"/>
    <col collapsed="false" customWidth="true" hidden="false" outlineLevel="0" max="12291" min="12291" style="2" width="14.38"/>
    <col collapsed="false" customWidth="true" hidden="false" outlineLevel="0" max="12292" min="12292" style="2" width="8"/>
    <col collapsed="false" customWidth="true" hidden="false" outlineLevel="0" max="12293" min="12293" style="2" width="38"/>
    <col collapsed="false" customWidth="true" hidden="false" outlineLevel="0" max="12294" min="12294" style="2" width="48.12"/>
    <col collapsed="false" customWidth="false" hidden="false" outlineLevel="0" max="12544" min="12295" style="2" width="9"/>
    <col collapsed="false" customWidth="true" hidden="false" outlineLevel="0" max="12545" min="12545" style="2" width="28.12"/>
    <col collapsed="false" customWidth="true" hidden="false" outlineLevel="0" max="12546" min="12546" style="2" width="10"/>
    <col collapsed="false" customWidth="true" hidden="false" outlineLevel="0" max="12547" min="12547" style="2" width="14.38"/>
    <col collapsed="false" customWidth="true" hidden="false" outlineLevel="0" max="12548" min="12548" style="2" width="8"/>
    <col collapsed="false" customWidth="true" hidden="false" outlineLevel="0" max="12549" min="12549" style="2" width="38"/>
    <col collapsed="false" customWidth="true" hidden="false" outlineLevel="0" max="12550" min="12550" style="2" width="48.12"/>
    <col collapsed="false" customWidth="false" hidden="false" outlineLevel="0" max="12800" min="12551" style="2" width="9"/>
    <col collapsed="false" customWidth="true" hidden="false" outlineLevel="0" max="12801" min="12801" style="2" width="28.12"/>
    <col collapsed="false" customWidth="true" hidden="false" outlineLevel="0" max="12802" min="12802" style="2" width="10"/>
    <col collapsed="false" customWidth="true" hidden="false" outlineLevel="0" max="12803" min="12803" style="2" width="14.38"/>
    <col collapsed="false" customWidth="true" hidden="false" outlineLevel="0" max="12804" min="12804" style="2" width="8"/>
    <col collapsed="false" customWidth="true" hidden="false" outlineLevel="0" max="12805" min="12805" style="2" width="38"/>
    <col collapsed="false" customWidth="true" hidden="false" outlineLevel="0" max="12806" min="12806" style="2" width="48.12"/>
    <col collapsed="false" customWidth="false" hidden="false" outlineLevel="0" max="13056" min="12807" style="2" width="9"/>
    <col collapsed="false" customWidth="true" hidden="false" outlineLevel="0" max="13057" min="13057" style="2" width="28.12"/>
    <col collapsed="false" customWidth="true" hidden="false" outlineLevel="0" max="13058" min="13058" style="2" width="10"/>
    <col collapsed="false" customWidth="true" hidden="false" outlineLevel="0" max="13059" min="13059" style="2" width="14.38"/>
    <col collapsed="false" customWidth="true" hidden="false" outlineLevel="0" max="13060" min="13060" style="2" width="8"/>
    <col collapsed="false" customWidth="true" hidden="false" outlineLevel="0" max="13061" min="13061" style="2" width="38"/>
    <col collapsed="false" customWidth="true" hidden="false" outlineLevel="0" max="13062" min="13062" style="2" width="48.12"/>
    <col collapsed="false" customWidth="false" hidden="false" outlineLevel="0" max="13312" min="13063" style="2" width="9"/>
    <col collapsed="false" customWidth="true" hidden="false" outlineLevel="0" max="13313" min="13313" style="2" width="28.12"/>
    <col collapsed="false" customWidth="true" hidden="false" outlineLevel="0" max="13314" min="13314" style="2" width="10"/>
    <col collapsed="false" customWidth="true" hidden="false" outlineLevel="0" max="13315" min="13315" style="2" width="14.38"/>
    <col collapsed="false" customWidth="true" hidden="false" outlineLevel="0" max="13316" min="13316" style="2" width="8"/>
    <col collapsed="false" customWidth="true" hidden="false" outlineLevel="0" max="13317" min="13317" style="2" width="38"/>
    <col collapsed="false" customWidth="true" hidden="false" outlineLevel="0" max="13318" min="13318" style="2" width="48.12"/>
    <col collapsed="false" customWidth="false" hidden="false" outlineLevel="0" max="13568" min="13319" style="2" width="9"/>
    <col collapsed="false" customWidth="true" hidden="false" outlineLevel="0" max="13569" min="13569" style="2" width="28.12"/>
    <col collapsed="false" customWidth="true" hidden="false" outlineLevel="0" max="13570" min="13570" style="2" width="10"/>
    <col collapsed="false" customWidth="true" hidden="false" outlineLevel="0" max="13571" min="13571" style="2" width="14.38"/>
    <col collapsed="false" customWidth="true" hidden="false" outlineLevel="0" max="13572" min="13572" style="2" width="8"/>
    <col collapsed="false" customWidth="true" hidden="false" outlineLevel="0" max="13573" min="13573" style="2" width="38"/>
    <col collapsed="false" customWidth="true" hidden="false" outlineLevel="0" max="13574" min="13574" style="2" width="48.12"/>
    <col collapsed="false" customWidth="false" hidden="false" outlineLevel="0" max="13824" min="13575" style="2" width="9"/>
    <col collapsed="false" customWidth="true" hidden="false" outlineLevel="0" max="13825" min="13825" style="2" width="28.12"/>
    <col collapsed="false" customWidth="true" hidden="false" outlineLevel="0" max="13826" min="13826" style="2" width="10"/>
    <col collapsed="false" customWidth="true" hidden="false" outlineLevel="0" max="13827" min="13827" style="2" width="14.38"/>
    <col collapsed="false" customWidth="true" hidden="false" outlineLevel="0" max="13828" min="13828" style="2" width="8"/>
    <col collapsed="false" customWidth="true" hidden="false" outlineLevel="0" max="13829" min="13829" style="2" width="38"/>
    <col collapsed="false" customWidth="true" hidden="false" outlineLevel="0" max="13830" min="13830" style="2" width="48.12"/>
    <col collapsed="false" customWidth="false" hidden="false" outlineLevel="0" max="14080" min="13831" style="2" width="9"/>
    <col collapsed="false" customWidth="true" hidden="false" outlineLevel="0" max="14081" min="14081" style="2" width="28.12"/>
    <col collapsed="false" customWidth="true" hidden="false" outlineLevel="0" max="14082" min="14082" style="2" width="10"/>
    <col collapsed="false" customWidth="true" hidden="false" outlineLevel="0" max="14083" min="14083" style="2" width="14.38"/>
    <col collapsed="false" customWidth="true" hidden="false" outlineLevel="0" max="14084" min="14084" style="2" width="8"/>
    <col collapsed="false" customWidth="true" hidden="false" outlineLevel="0" max="14085" min="14085" style="2" width="38"/>
    <col collapsed="false" customWidth="true" hidden="false" outlineLevel="0" max="14086" min="14086" style="2" width="48.12"/>
    <col collapsed="false" customWidth="false" hidden="false" outlineLevel="0" max="14336" min="14087" style="2" width="9"/>
    <col collapsed="false" customWidth="true" hidden="false" outlineLevel="0" max="14337" min="14337" style="2" width="28.12"/>
    <col collapsed="false" customWidth="true" hidden="false" outlineLevel="0" max="14338" min="14338" style="2" width="10"/>
    <col collapsed="false" customWidth="true" hidden="false" outlineLevel="0" max="14339" min="14339" style="2" width="14.38"/>
    <col collapsed="false" customWidth="true" hidden="false" outlineLevel="0" max="14340" min="14340" style="2" width="8"/>
    <col collapsed="false" customWidth="true" hidden="false" outlineLevel="0" max="14341" min="14341" style="2" width="38"/>
    <col collapsed="false" customWidth="true" hidden="false" outlineLevel="0" max="14342" min="14342" style="2" width="48.12"/>
    <col collapsed="false" customWidth="false" hidden="false" outlineLevel="0" max="14592" min="14343" style="2" width="9"/>
    <col collapsed="false" customWidth="true" hidden="false" outlineLevel="0" max="14593" min="14593" style="2" width="28.12"/>
    <col collapsed="false" customWidth="true" hidden="false" outlineLevel="0" max="14594" min="14594" style="2" width="10"/>
    <col collapsed="false" customWidth="true" hidden="false" outlineLevel="0" max="14595" min="14595" style="2" width="14.38"/>
    <col collapsed="false" customWidth="true" hidden="false" outlineLevel="0" max="14596" min="14596" style="2" width="8"/>
    <col collapsed="false" customWidth="true" hidden="false" outlineLevel="0" max="14597" min="14597" style="2" width="38"/>
    <col collapsed="false" customWidth="true" hidden="false" outlineLevel="0" max="14598" min="14598" style="2" width="48.12"/>
    <col collapsed="false" customWidth="false" hidden="false" outlineLevel="0" max="14848" min="14599" style="2" width="9"/>
    <col collapsed="false" customWidth="true" hidden="false" outlineLevel="0" max="14849" min="14849" style="2" width="28.12"/>
    <col collapsed="false" customWidth="true" hidden="false" outlineLevel="0" max="14850" min="14850" style="2" width="10"/>
    <col collapsed="false" customWidth="true" hidden="false" outlineLevel="0" max="14851" min="14851" style="2" width="14.38"/>
    <col collapsed="false" customWidth="true" hidden="false" outlineLevel="0" max="14852" min="14852" style="2" width="8"/>
    <col collapsed="false" customWidth="true" hidden="false" outlineLevel="0" max="14853" min="14853" style="2" width="38"/>
    <col collapsed="false" customWidth="true" hidden="false" outlineLevel="0" max="14854" min="14854" style="2" width="48.12"/>
    <col collapsed="false" customWidth="false" hidden="false" outlineLevel="0" max="15104" min="14855" style="2" width="9"/>
    <col collapsed="false" customWidth="true" hidden="false" outlineLevel="0" max="15105" min="15105" style="2" width="28.12"/>
    <col collapsed="false" customWidth="true" hidden="false" outlineLevel="0" max="15106" min="15106" style="2" width="10"/>
    <col collapsed="false" customWidth="true" hidden="false" outlineLevel="0" max="15107" min="15107" style="2" width="14.38"/>
    <col collapsed="false" customWidth="true" hidden="false" outlineLevel="0" max="15108" min="15108" style="2" width="8"/>
    <col collapsed="false" customWidth="true" hidden="false" outlineLevel="0" max="15109" min="15109" style="2" width="38"/>
    <col collapsed="false" customWidth="true" hidden="false" outlineLevel="0" max="15110" min="15110" style="2" width="48.12"/>
    <col collapsed="false" customWidth="false" hidden="false" outlineLevel="0" max="15360" min="15111" style="2" width="9"/>
    <col collapsed="false" customWidth="true" hidden="false" outlineLevel="0" max="15361" min="15361" style="2" width="28.12"/>
    <col collapsed="false" customWidth="true" hidden="false" outlineLevel="0" max="15362" min="15362" style="2" width="10"/>
    <col collapsed="false" customWidth="true" hidden="false" outlineLevel="0" max="15363" min="15363" style="2" width="14.38"/>
    <col collapsed="false" customWidth="true" hidden="false" outlineLevel="0" max="15364" min="15364" style="2" width="8"/>
    <col collapsed="false" customWidth="true" hidden="false" outlineLevel="0" max="15365" min="15365" style="2" width="38"/>
    <col collapsed="false" customWidth="true" hidden="false" outlineLevel="0" max="15366" min="15366" style="2" width="48.12"/>
    <col collapsed="false" customWidth="false" hidden="false" outlineLevel="0" max="15616" min="15367" style="2" width="9"/>
    <col collapsed="false" customWidth="true" hidden="false" outlineLevel="0" max="15617" min="15617" style="2" width="28.12"/>
    <col collapsed="false" customWidth="true" hidden="false" outlineLevel="0" max="15618" min="15618" style="2" width="10"/>
    <col collapsed="false" customWidth="true" hidden="false" outlineLevel="0" max="15619" min="15619" style="2" width="14.38"/>
    <col collapsed="false" customWidth="true" hidden="false" outlineLevel="0" max="15620" min="15620" style="2" width="8"/>
    <col collapsed="false" customWidth="true" hidden="false" outlineLevel="0" max="15621" min="15621" style="2" width="38"/>
    <col collapsed="false" customWidth="true" hidden="false" outlineLevel="0" max="15622" min="15622" style="2" width="48.12"/>
    <col collapsed="false" customWidth="false" hidden="false" outlineLevel="0" max="15872" min="15623" style="2" width="9"/>
    <col collapsed="false" customWidth="true" hidden="false" outlineLevel="0" max="15873" min="15873" style="2" width="28.12"/>
    <col collapsed="false" customWidth="true" hidden="false" outlineLevel="0" max="15874" min="15874" style="2" width="10"/>
    <col collapsed="false" customWidth="true" hidden="false" outlineLevel="0" max="15875" min="15875" style="2" width="14.38"/>
    <col collapsed="false" customWidth="true" hidden="false" outlineLevel="0" max="15876" min="15876" style="2" width="8"/>
    <col collapsed="false" customWidth="true" hidden="false" outlineLevel="0" max="15877" min="15877" style="2" width="38"/>
    <col collapsed="false" customWidth="true" hidden="false" outlineLevel="0" max="15878" min="15878" style="2" width="48.12"/>
    <col collapsed="false" customWidth="false" hidden="false" outlineLevel="0" max="16128" min="15879" style="2" width="9"/>
    <col collapsed="false" customWidth="true" hidden="false" outlineLevel="0" max="16129" min="16129" style="2" width="28.12"/>
    <col collapsed="false" customWidth="true" hidden="false" outlineLevel="0" max="16130" min="16130" style="2" width="10"/>
    <col collapsed="false" customWidth="true" hidden="false" outlineLevel="0" max="16131" min="16131" style="2" width="14.38"/>
    <col collapsed="false" customWidth="true" hidden="false" outlineLevel="0" max="16132" min="16132" style="2" width="8"/>
    <col collapsed="false" customWidth="true" hidden="false" outlineLevel="0" max="16133" min="16133" style="2" width="38"/>
    <col collapsed="false" customWidth="true" hidden="false" outlineLevel="0" max="16134" min="16134" style="2" width="48.12"/>
    <col collapsed="false" customWidth="false" hidden="false" outlineLevel="0" max="16384" min="16135" style="2" width="9"/>
  </cols>
  <sheetData>
    <row r="2" s="5" customFormat="true" ht="75.75" hidden="false" customHeight="true" outlineLevel="0" collapsed="false">
      <c r="A2" s="3"/>
      <c r="B2" s="4" t="s">
        <v>0</v>
      </c>
      <c r="C2" s="4"/>
      <c r="D2" s="4"/>
      <c r="E2" s="4"/>
      <c r="F2" s="4"/>
    </row>
    <row r="3" customFormat="false" ht="15" hidden="false" customHeight="false" outlineLevel="0" collapsed="false">
      <c r="A3" s="6"/>
      <c r="B3" s="7"/>
      <c r="E3" s="8"/>
    </row>
    <row r="4" customFormat="false" ht="31.5" hidden="false" customHeight="true" outlineLevel="0" collapsed="false">
      <c r="A4" s="9" t="s">
        <v>1</v>
      </c>
      <c r="B4" s="10" t="s">
        <v>2</v>
      </c>
      <c r="C4" s="10"/>
      <c r="D4" s="10"/>
      <c r="E4" s="9" t="s">
        <v>3</v>
      </c>
      <c r="F4" s="11" t="s">
        <v>4</v>
      </c>
    </row>
    <row r="5" customFormat="false" ht="14.25" hidden="false" customHeight="true" outlineLevel="0" collapsed="false">
      <c r="A5" s="9" t="s">
        <v>5</v>
      </c>
      <c r="B5" s="10" t="s">
        <v>6</v>
      </c>
      <c r="C5" s="10"/>
      <c r="D5" s="10"/>
      <c r="E5" s="9" t="s">
        <v>7</v>
      </c>
      <c r="F5" s="12" t="n">
        <v>46226</v>
      </c>
    </row>
    <row r="6" customFormat="false" ht="36" hidden="false" customHeight="true" outlineLevel="0" collapsed="false">
      <c r="A6" s="13" t="s">
        <v>8</v>
      </c>
      <c r="B6" s="10" t="s">
        <v>9</v>
      </c>
      <c r="C6" s="10"/>
      <c r="D6" s="10"/>
      <c r="E6" s="9" t="s">
        <v>10</v>
      </c>
      <c r="F6" s="14" t="s">
        <v>11</v>
      </c>
    </row>
    <row r="7" customFormat="false" ht="15" hidden="false" customHeight="false" outlineLevel="0" collapsed="false">
      <c r="A7" s="15"/>
      <c r="B7" s="16"/>
      <c r="E7" s="17"/>
      <c r="F7" s="7"/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9" t="s">
        <v>12</v>
      </c>
    </row>
    <row r="10" s="23" customFormat="true" ht="15" hidden="false" customHeight="false" outlineLevel="0" collapsed="false">
      <c r="A10" s="20" t="s">
        <v>13</v>
      </c>
      <c r="B10" s="21" t="s">
        <v>10</v>
      </c>
      <c r="C10" s="21" t="s">
        <v>14</v>
      </c>
      <c r="D10" s="21" t="s">
        <v>15</v>
      </c>
      <c r="E10" s="21" t="s">
        <v>16</v>
      </c>
      <c r="F10" s="22" t="s">
        <v>17</v>
      </c>
    </row>
    <row r="11" s="29" customFormat="true" ht="60" hidden="false" customHeight="true" outlineLevel="0" collapsed="false">
      <c r="A11" s="24" t="n">
        <v>46226</v>
      </c>
      <c r="B11" s="25" t="s">
        <v>11</v>
      </c>
      <c r="C11" s="26" t="s">
        <v>18</v>
      </c>
      <c r="D11" s="26" t="s">
        <v>19</v>
      </c>
      <c r="E11" s="27" t="s">
        <v>20</v>
      </c>
      <c r="F11" s="28" t="s">
        <v>21</v>
      </c>
    </row>
    <row r="12" s="29" customFormat="true" ht="21.75" hidden="false" customHeight="true" outlineLevel="0" collapsed="false">
      <c r="A12" s="30"/>
      <c r="B12" s="31"/>
      <c r="C12" s="32"/>
      <c r="D12" s="32"/>
      <c r="E12" s="32"/>
      <c r="F12" s="33"/>
    </row>
    <row r="13" s="29" customFormat="true" ht="19.5" hidden="false" customHeight="true" outlineLevel="0" collapsed="false">
      <c r="A13" s="30"/>
      <c r="B13" s="31"/>
      <c r="C13" s="32"/>
      <c r="D13" s="32"/>
      <c r="E13" s="32"/>
      <c r="F13" s="33"/>
    </row>
    <row r="14" s="29" customFormat="true" ht="21.75" hidden="false" customHeight="true" outlineLevel="0" collapsed="false">
      <c r="A14" s="30"/>
      <c r="B14" s="31"/>
      <c r="C14" s="32"/>
      <c r="D14" s="32"/>
      <c r="E14" s="32"/>
      <c r="F14" s="33"/>
    </row>
    <row r="15" s="29" customFormat="true" ht="19.5" hidden="false" customHeight="true" outlineLevel="0" collapsed="false">
      <c r="A15" s="30"/>
      <c r="B15" s="31"/>
      <c r="C15" s="32"/>
      <c r="D15" s="32"/>
      <c r="E15" s="32"/>
      <c r="F15" s="33"/>
    </row>
    <row r="16" s="29" customFormat="true" ht="21.75" hidden="false" customHeight="true" outlineLevel="0" collapsed="false">
      <c r="A16" s="30"/>
      <c r="B16" s="31"/>
      <c r="C16" s="32"/>
      <c r="D16" s="32"/>
      <c r="E16" s="32"/>
      <c r="F16" s="33"/>
    </row>
    <row r="17" s="29" customFormat="true" ht="19.5" hidden="false" customHeight="true" outlineLevel="0" collapsed="false">
      <c r="A17" s="34"/>
      <c r="B17" s="35"/>
      <c r="C17" s="36"/>
      <c r="D17" s="36"/>
      <c r="E17" s="36"/>
      <c r="F17" s="37"/>
    </row>
  </sheetData>
  <mergeCells count="4">
    <mergeCell ref="B2:F2"/>
    <mergeCell ref="B4:D4"/>
    <mergeCell ref="B5:D5"/>
    <mergeCell ref="B6:D6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.170138888888889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use&amp;R&amp;"tahomaTahoma,Regular"&amp;8 &amp;P/&amp;N</oddFooter>
  </headerFooter>
  <drawing ns1:id="rId2"/>
  <legacyDrawing ns1:id="rId3"/>
</worksheet>
</file>

<file path=xl/worksheets/sheet2.xml><?xml version="1.0" encoding="utf-8"?>
<worksheet xmlns="http://schemas.openxmlformats.org/spreadsheetml/2006/main">
  <sheetPr filterMode="false">
    <pageSetUpPr fitToPage="true"/>
  </sheetPr>
  <dimension ref="B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D13" activeCellId="0" sqref="D13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8" width="1.37"/>
    <col collapsed="false" customWidth="true" hidden="false" outlineLevel="0" max="2" min="2" style="39" width="7"/>
    <col collapsed="false" customWidth="true" hidden="false" outlineLevel="0" max="3" min="3" style="40" width="48"/>
    <col collapsed="false" customWidth="true" hidden="false" outlineLevel="0" max="4" min="4" style="40" width="16"/>
    <col collapsed="false" customWidth="true" hidden="false" outlineLevel="0" max="5" min="5" style="40" width="40"/>
    <col collapsed="false" customWidth="true" hidden="false" outlineLevel="0" max="6" min="6" style="40" width="55"/>
    <col collapsed="false" customWidth="false" hidden="false" outlineLevel="0" max="16384" min="7" style="38" width="9"/>
  </cols>
  <sheetData>
    <row r="1" customFormat="false" ht="25.5" hidden="false" customHeight="true" outlineLevel="0" collapsed="false">
      <c r="B1" s="41"/>
      <c r="D1" s="42" t="s">
        <v>22</v>
      </c>
      <c r="E1" s="43"/>
    </row>
    <row r="2" customFormat="false" ht="13.5" hidden="false" customHeight="true" outlineLevel="0" collapsed="false">
      <c r="B2" s="41"/>
      <c r="D2" s="44"/>
      <c r="E2" s="44"/>
    </row>
    <row r="3" customFormat="false" ht="15.65" hidden="false" customHeight="true" outlineLevel="0" collapsed="false">
      <c r="B3" s="45" t="s">
        <v>1</v>
      </c>
      <c r="C3" s="45"/>
      <c r="D3" s="46" t="s">
        <v>2</v>
      </c>
      <c r="E3" s="46"/>
      <c r="F3" s="46"/>
    </row>
    <row r="4" customFormat="false" ht="15.65" hidden="false" customHeight="true" outlineLevel="0" collapsed="false">
      <c r="B4" s="45" t="s">
        <v>5</v>
      </c>
      <c r="C4" s="45"/>
      <c r="D4" s="46" t="s">
        <v>6</v>
      </c>
      <c r="E4" s="46"/>
      <c r="F4" s="46"/>
    </row>
    <row r="5" s="47" customFormat="true" ht="84.75" hidden="false" customHeight="true" outlineLevel="0" collapsed="false">
      <c r="B5" s="48" t="s">
        <v>23</v>
      </c>
      <c r="C5" s="48"/>
      <c r="D5" s="46" t="s">
        <v>24</v>
      </c>
      <c r="E5" s="46"/>
      <c r="F5" s="46"/>
    </row>
    <row r="6" customFormat="false" ht="15" hidden="false" customHeight="false" outlineLevel="0" collapsed="false">
      <c r="B6" s="49"/>
      <c r="C6" s="50"/>
      <c r="D6" s="50"/>
      <c r="E6" s="50"/>
      <c r="F6" s="50"/>
    </row>
    <row r="7" s="51" customFormat="true" ht="15" hidden="false" customHeight="false" outlineLevel="0" collapsed="false">
      <c r="B7" s="52"/>
      <c r="C7" s="53"/>
      <c r="D7" s="53"/>
      <c r="E7" s="53"/>
      <c r="F7" s="53"/>
    </row>
    <row r="8" s="54" customFormat="true" ht="21" hidden="false" customHeight="true" outlineLevel="0" collapsed="false">
      <c r="B8" s="55" t="s">
        <v>25</v>
      </c>
      <c r="C8" s="56" t="s">
        <v>26</v>
      </c>
      <c r="D8" s="56" t="s">
        <v>27</v>
      </c>
      <c r="E8" s="57" t="s">
        <v>28</v>
      </c>
      <c r="F8" s="58" t="s">
        <v>29</v>
      </c>
    </row>
    <row r="9" customFormat="false" ht="66" hidden="false" customHeight="true" outlineLevel="0" collapsed="false">
      <c r="B9" s="59" t="n">
        <v>1</v>
      </c>
      <c r="C9" s="60" t="s">
        <v>30</v>
      </c>
      <c r="D9" s="61" t="s">
        <v>31</v>
      </c>
      <c r="E9" s="62" t="s">
        <v>32</v>
      </c>
      <c r="F9" s="63" t="s">
        <v>33</v>
      </c>
    </row>
    <row r="10" customFormat="false" ht="66" hidden="false" customHeight="true" outlineLevel="0" collapsed="false">
      <c r="B10" s="59" t="n">
        <v>2</v>
      </c>
      <c r="C10" s="60" t="s">
        <v>34</v>
      </c>
      <c r="D10" s="61" t="s">
        <v>31</v>
      </c>
      <c r="E10" s="62" t="s">
        <v>32</v>
      </c>
      <c r="F10" s="63" t="s">
        <v>35</v>
      </c>
    </row>
    <row r="11" customFormat="false" ht="66" hidden="false" customHeight="true" outlineLevel="0" collapsed="false">
      <c r="B11" s="59" t="n">
        <v>3</v>
      </c>
      <c r="C11" s="60" t="s">
        <v>36</v>
      </c>
      <c r="D11" s="61" t="s">
        <v>31</v>
      </c>
      <c r="E11" s="62" t="s">
        <v>32</v>
      </c>
      <c r="F11" s="63" t="s">
        <v>37</v>
      </c>
    </row>
    <row r="12" customFormat="false" ht="66" hidden="false" customHeight="true" outlineLevel="0" collapsed="false">
      <c r="B12" s="59" t="n">
        <v>4</v>
      </c>
      <c r="C12" s="60" t="s">
        <v>38</v>
      </c>
      <c r="D12" s="61" t="s">
        <v>31</v>
      </c>
      <c r="E12" s="62" t="s">
        <v>39</v>
      </c>
      <c r="F12" s="63" t="s">
        <v>40</v>
      </c>
    </row>
    <row r="13" customFormat="false" ht="66" hidden="false" customHeight="true" outlineLevel="0" collapsed="false">
      <c r="B13" s="59" t="n">
        <v>5</v>
      </c>
      <c r="C13" s="60" t="s">
        <v>41</v>
      </c>
      <c r="D13" s="61" t="s">
        <v>31</v>
      </c>
      <c r="E13" s="62" t="s">
        <v>32</v>
      </c>
      <c r="F13" s="63" t="s">
        <v>42</v>
      </c>
    </row>
    <row r="14" customFormat="false" ht="66" hidden="false" customHeight="true" outlineLevel="0" collapsed="false">
      <c r="B14" s="59" t="n">
        <v>6</v>
      </c>
      <c r="C14" s="60" t="s">
        <v>43</v>
      </c>
      <c r="D14" s="61" t="s">
        <v>31</v>
      </c>
      <c r="E14" s="62" t="s">
        <v>44</v>
      </c>
      <c r="F14" s="63" t="s">
        <v>45</v>
      </c>
    </row>
    <row r="15" customFormat="false" ht="66" hidden="false" customHeight="true" outlineLevel="0" collapsed="false">
      <c r="B15" s="59" t="n">
        <v>7</v>
      </c>
      <c r="C15" s="60" t="s">
        <v>46</v>
      </c>
      <c r="D15" s="61" t="s">
        <v>31</v>
      </c>
      <c r="E15" s="62" t="s">
        <v>47</v>
      </c>
      <c r="F15" s="63" t="s">
        <v>48</v>
      </c>
    </row>
    <row r="16" customFormat="false" ht="66" hidden="false" customHeight="true" outlineLevel="0" collapsed="false">
      <c r="B16" s="59" t="n">
        <v>8</v>
      </c>
      <c r="C16" s="60" t="s">
        <v>49</v>
      </c>
      <c r="D16" s="61" t="s">
        <v>31</v>
      </c>
      <c r="E16" s="62" t="s">
        <v>50</v>
      </c>
      <c r="F16" s="63" t="s">
        <v>51</v>
      </c>
    </row>
    <row r="17" customFormat="false" ht="66" hidden="false" customHeight="true" outlineLevel="0" collapsed="false">
      <c r="B17" s="59" t="n">
        <v>9</v>
      </c>
      <c r="C17" s="60" t="s">
        <v>52</v>
      </c>
      <c r="D17" s="61" t="s">
        <v>31</v>
      </c>
      <c r="E17" s="62" t="s">
        <v>53</v>
      </c>
      <c r="F17" s="63" t="s">
        <v>54</v>
      </c>
    </row>
    <row r="18" customFormat="false" ht="66" hidden="false" customHeight="true" outlineLevel="0" collapsed="false">
      <c r="B18" s="59" t="n">
        <v>10</v>
      </c>
      <c r="C18" s="60" t="s">
        <v>55</v>
      </c>
      <c r="D18" s="61" t="s">
        <v>31</v>
      </c>
      <c r="E18" s="62" t="s">
        <v>56</v>
      </c>
      <c r="F18" s="63" t="s">
        <v>57</v>
      </c>
    </row>
    <row r="19" customFormat="false" ht="66" hidden="false" customHeight="true" outlineLevel="0" collapsed="false">
      <c r="B19" s="59" t="n">
        <v>11</v>
      </c>
      <c r="C19" s="60" t="s">
        <v>58</v>
      </c>
      <c r="D19" s="61" t="s">
        <v>31</v>
      </c>
      <c r="E19" s="62" t="s">
        <v>59</v>
      </c>
      <c r="F19" s="63" t="s">
        <v>60</v>
      </c>
    </row>
    <row r="20" customFormat="false" ht="66" hidden="false" customHeight="true" outlineLevel="0" collapsed="false">
      <c r="B20" s="59" t="n">
        <v>12</v>
      </c>
      <c r="C20" s="60" t="s">
        <v>61</v>
      </c>
      <c r="D20" s="61" t="s">
        <v>31</v>
      </c>
      <c r="E20" s="62" t="s">
        <v>62</v>
      </c>
      <c r="F20" s="63" t="s">
        <v>63</v>
      </c>
    </row>
    <row r="21" customFormat="false" ht="66" hidden="false" customHeight="true" outlineLevel="0" collapsed="false">
      <c r="B21" s="59" t="n">
        <v>13</v>
      </c>
      <c r="C21" s="60" t="s">
        <v>64</v>
      </c>
      <c r="D21" s="61" t="s">
        <v>31</v>
      </c>
      <c r="E21" s="62" t="s">
        <v>65</v>
      </c>
      <c r="F21" s="63" t="s">
        <v>66</v>
      </c>
    </row>
    <row r="22" customFormat="false" ht="66" hidden="false" customHeight="true" outlineLevel="0" collapsed="false">
      <c r="B22" s="59" t="n">
        <v>14</v>
      </c>
      <c r="C22" s="60" t="s">
        <v>67</v>
      </c>
      <c r="D22" s="61" t="s">
        <v>31</v>
      </c>
      <c r="E22" s="62" t="s">
        <v>68</v>
      </c>
      <c r="F22" s="63" t="s">
        <v>69</v>
      </c>
    </row>
    <row r="23" customFormat="false" ht="66" hidden="false" customHeight="true" outlineLevel="0" collapsed="false">
      <c r="B23" s="59" t="n">
        <v>15</v>
      </c>
      <c r="C23" s="60" t="s">
        <v>70</v>
      </c>
      <c r="D23" s="61" t="s">
        <v>31</v>
      </c>
      <c r="E23" s="62" t="s">
        <v>71</v>
      </c>
      <c r="F23" s="63" t="s">
        <v>72</v>
      </c>
    </row>
    <row r="24" customFormat="false" ht="66" hidden="false" customHeight="true" outlineLevel="0" collapsed="false">
      <c r="B24" s="59" t="n">
        <v>16</v>
      </c>
      <c r="C24" s="60" t="s">
        <v>73</v>
      </c>
      <c r="D24" s="61" t="s">
        <v>31</v>
      </c>
      <c r="E24" s="62" t="s">
        <v>74</v>
      </c>
      <c r="F24" s="63" t="s">
        <v>75</v>
      </c>
    </row>
    <row r="25" customFormat="false" ht="66" hidden="false" customHeight="true" outlineLevel="0" collapsed="false">
      <c r="B25" s="59" t="n">
        <v>17</v>
      </c>
      <c r="C25" s="60" t="s">
        <v>76</v>
      </c>
      <c r="D25" s="61" t="s">
        <v>31</v>
      </c>
      <c r="E25" s="62" t="s">
        <v>77</v>
      </c>
      <c r="F25" s="63" t="s">
        <v>78</v>
      </c>
    </row>
    <row r="26" customFormat="false" ht="66" hidden="false" customHeight="true" outlineLevel="0" collapsed="false">
      <c r="B26" s="59" t="n">
        <v>18</v>
      </c>
      <c r="C26" s="60" t="s">
        <v>79</v>
      </c>
      <c r="D26" s="61" t="s">
        <v>31</v>
      </c>
      <c r="E26" s="62" t="s">
        <v>80</v>
      </c>
      <c r="F26" s="63" t="s">
        <v>81</v>
      </c>
    </row>
    <row r="27" customFormat="false" ht="66" hidden="false" customHeight="true" outlineLevel="0" collapsed="false">
      <c r="B27" s="59" t="n">
        <v>19</v>
      </c>
      <c r="C27" s="60" t="s">
        <v>82</v>
      </c>
      <c r="D27" s="61" t="s">
        <v>31</v>
      </c>
      <c r="E27" s="62" t="s">
        <v>83</v>
      </c>
      <c r="F27" s="63" t="s">
        <v>84</v>
      </c>
    </row>
    <row r="28" customFormat="false" ht="66" hidden="false" customHeight="true" outlineLevel="0" collapsed="false">
      <c r="B28" s="59" t="n">
        <v>20</v>
      </c>
      <c r="C28" s="60" t="s">
        <v>85</v>
      </c>
      <c r="D28" s="61" t="s">
        <v>31</v>
      </c>
      <c r="E28" s="62" t="s">
        <v>86</v>
      </c>
      <c r="F28" s="63" t="s">
        <v>87</v>
      </c>
    </row>
    <row r="29" customFormat="false" ht="66" hidden="false" customHeight="true" outlineLevel="0" collapsed="false">
      <c r="B29" s="59" t="n">
        <v>21</v>
      </c>
      <c r="C29" s="60" t="s">
        <v>88</v>
      </c>
      <c r="D29" s="61" t="s">
        <v>31</v>
      </c>
      <c r="E29" s="62" t="s">
        <v>89</v>
      </c>
      <c r="F29" s="63" t="s">
        <v>90</v>
      </c>
    </row>
    <row r="30" customFormat="false" ht="66" hidden="false" customHeight="true" outlineLevel="0" collapsed="false">
      <c r="B30" s="59" t="n">
        <v>22</v>
      </c>
      <c r="C30" s="60" t="s">
        <v>91</v>
      </c>
      <c r="D30" s="61" t="s">
        <v>92</v>
      </c>
      <c r="E30" s="62" t="s">
        <v>93</v>
      </c>
      <c r="F30" s="63" t="s">
        <v>94</v>
      </c>
    </row>
    <row r="31" customFormat="false" ht="66" hidden="false" customHeight="true" outlineLevel="0" collapsed="false">
      <c r="B31" s="59" t="n">
        <v>23</v>
      </c>
      <c r="C31" s="60" t="s">
        <v>95</v>
      </c>
      <c r="D31" s="61" t="s">
        <v>92</v>
      </c>
      <c r="E31" s="62" t="s">
        <v>96</v>
      </c>
      <c r="F31" s="63" t="s">
        <v>97</v>
      </c>
    </row>
    <row r="32" customFormat="false" ht="66" hidden="false" customHeight="true" outlineLevel="0" collapsed="false">
      <c r="B32" s="59" t="n">
        <v>24</v>
      </c>
      <c r="C32" s="60" t="s">
        <v>98</v>
      </c>
      <c r="D32" s="61" t="s">
        <v>92</v>
      </c>
      <c r="E32" s="62" t="s">
        <v>99</v>
      </c>
      <c r="F32" s="63" t="s">
        <v>100</v>
      </c>
    </row>
    <row r="33" customFormat="false" ht="66" hidden="false" customHeight="true" outlineLevel="0" collapsed="false">
      <c r="B33" s="59" t="n">
        <v>25</v>
      </c>
      <c r="C33" s="60" t="s">
        <v>101</v>
      </c>
      <c r="D33" s="61" t="s">
        <v>92</v>
      </c>
      <c r="E33" s="62" t="s">
        <v>102</v>
      </c>
      <c r="F33" s="63" t="s">
        <v>103</v>
      </c>
    </row>
    <row r="34" customFormat="false" ht="66" hidden="false" customHeight="true" outlineLevel="0" collapsed="false">
      <c r="B34" s="59" t="n">
        <v>26</v>
      </c>
      <c r="C34" s="60" t="s">
        <v>104</v>
      </c>
      <c r="D34" s="61" t="s">
        <v>92</v>
      </c>
      <c r="E34" s="62" t="s">
        <v>105</v>
      </c>
      <c r="F34" s="63" t="s">
        <v>106</v>
      </c>
    </row>
    <row r="35" customFormat="false" ht="66" hidden="false" customHeight="true" outlineLevel="0" collapsed="false">
      <c r="B35" s="59" t="n">
        <v>27</v>
      </c>
      <c r="C35" s="60" t="s">
        <v>107</v>
      </c>
      <c r="D35" s="61" t="s">
        <v>92</v>
      </c>
      <c r="E35" s="62" t="s">
        <v>108</v>
      </c>
      <c r="F35" s="63" t="s">
        <v>109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Feature 1'!A1" display="Feature 1"/>
    <hyperlink ref="D10" location="'Feature 1'!A1" display="Feature 1"/>
    <hyperlink ref="D11" location="'Feature 1'!A1" display="Feature 1"/>
    <hyperlink ref="D12" location="'Feature 1'!A1" display="Feature 1"/>
    <hyperlink ref="D13" location="'Feature 1'!A1" display="Feature 1"/>
    <hyperlink ref="D14" location="'Feature 1'!A1" display="Feature 1"/>
    <hyperlink ref="D15" location="'Feature 1'!A1" display="Feature 1"/>
    <hyperlink ref="D16" location="'Feature 1'!A1" display="Feature 1"/>
    <hyperlink ref="D17" location="'Feature 1'!A1" display="Feature 1"/>
    <hyperlink ref="D18" location="'Feature 1'!A1" display="Feature 1"/>
    <hyperlink ref="D19" location="'Feature 1'!A1" display="Feature 1"/>
    <hyperlink ref="D20" location="'Feature 1'!A1" display="Feature 1"/>
    <hyperlink ref="D21" location="'Feature 1'!A1" display="Feature 1"/>
    <hyperlink ref="D22" location="'Feature 1'!A1" display="Feature 1"/>
    <hyperlink ref="D23" location="'Feature 1'!A1" display="Feature 1"/>
    <hyperlink ref="D24" location="'Feature 1'!A1" display="Feature 1"/>
    <hyperlink ref="D25" location="'Feature 1'!A1" display="Feature 1"/>
    <hyperlink ref="D26" location="'Feature 1'!A1" display="Feature 1"/>
    <hyperlink ref="D27" location="'Feature 1'!A1" display="Feature 1"/>
    <hyperlink ref="D28" location="'Feature 1'!A1" display="Feature 1"/>
    <hyperlink ref="D29" location="'Feature 1'!A1" display="Feature 1"/>
    <hyperlink ref="D30" location="'Feature 2'!A1" display="Feature 2"/>
    <hyperlink ref="D31" location="'Feature 2'!A1" display="Feature 2"/>
    <hyperlink ref="D32" location="'Feature 2'!A1" display="Feature 2"/>
    <hyperlink ref="D33" location="'Feature 2'!A1" display="Feature 2"/>
    <hyperlink ref="D34" location="'Feature 2'!A1" display="Feature 2"/>
    <hyperlink ref="D35" location="'Feature 2'!A1" display="Feature 2"/>
  </hyperlinks>
  <printOptions headings="false" gridLines="false" gridLinesSet="true" horizontalCentered="false" verticalCentered="false"/>
  <pageMargins left="0.747916666666667" right="0.747916666666667" top="0.984027777777778" bottom="1.15069444444444" header="0.511811023622047" footer="0.984027777777778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2" activeCellId="0" sqref="B2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8" width="4.5"/>
    <col collapsed="false" customWidth="true" hidden="false" outlineLevel="0" max="3" min="2" style="38" width="34"/>
    <col collapsed="false" customWidth="true" hidden="false" outlineLevel="0" max="6" min="4" style="38" width="20"/>
    <col collapsed="false" customWidth="true" hidden="false" outlineLevel="0" max="7" min="7" style="38" width="18"/>
    <col collapsed="false" customWidth="true" hidden="false" outlineLevel="0" max="8" min="8" style="38" width="22"/>
    <col collapsed="false" customWidth="true" hidden="false" outlineLevel="0" max="9" min="9" style="38" width="33.12"/>
    <col collapsed="false" customWidth="false" hidden="false" outlineLevel="0" max="16384" min="10" style="38" width="9"/>
  </cols>
  <sheetData>
    <row r="1" customFormat="false" ht="25.5" hidden="false" customHeight="true" outlineLevel="0" collapsed="false">
      <c r="B1" s="64" t="s">
        <v>110</v>
      </c>
      <c r="C1" s="64"/>
      <c r="D1" s="64"/>
      <c r="E1" s="64"/>
      <c r="F1" s="64"/>
      <c r="G1" s="64"/>
      <c r="H1" s="64"/>
    </row>
    <row r="2" customFormat="false" ht="14.25" hidden="false" customHeight="true" outlineLevel="0" collapsed="false">
      <c r="A2" s="65"/>
      <c r="B2" s="65"/>
      <c r="C2" s="66"/>
      <c r="D2" s="66"/>
      <c r="E2" s="66"/>
      <c r="F2" s="66"/>
      <c r="G2" s="66"/>
      <c r="H2" s="67"/>
    </row>
    <row r="3" customFormat="false" ht="30" hidden="false" customHeight="true" outlineLevel="0" collapsed="false">
      <c r="B3" s="68" t="s">
        <v>1</v>
      </c>
      <c r="C3" s="46" t="s">
        <v>2</v>
      </c>
      <c r="D3" s="46"/>
      <c r="E3" s="69" t="s">
        <v>4</v>
      </c>
      <c r="F3" s="69"/>
      <c r="G3" s="70"/>
      <c r="H3" s="71"/>
    </row>
    <row r="4" customFormat="false" ht="24" hidden="false" customHeight="true" outlineLevel="0" collapsed="false">
      <c r="B4" s="68" t="s">
        <v>5</v>
      </c>
      <c r="C4" s="46" t="s">
        <v>6</v>
      </c>
      <c r="D4" s="46"/>
      <c r="E4" s="69" t="s">
        <v>111</v>
      </c>
      <c r="F4" s="69"/>
      <c r="G4" s="70"/>
      <c r="H4" s="71"/>
    </row>
    <row r="5" customFormat="false" ht="24" hidden="false" customHeight="true" outlineLevel="0" collapsed="false">
      <c r="B5" s="72" t="s">
        <v>8</v>
      </c>
      <c r="C5" s="46" t="s">
        <v>9</v>
      </c>
      <c r="D5" s="46"/>
      <c r="E5" s="73" t="s">
        <v>7</v>
      </c>
      <c r="F5" s="73"/>
      <c r="G5" s="70"/>
      <c r="H5" s="74" t="n">
        <v>46226</v>
      </c>
    </row>
    <row r="6" customFormat="false" ht="36" hidden="false" customHeight="true" outlineLevel="0" collapsed="false">
      <c r="A6" s="65"/>
      <c r="B6" s="72" t="s">
        <v>112</v>
      </c>
      <c r="C6" s="75" t="s">
        <v>113</v>
      </c>
      <c r="D6" s="75"/>
      <c r="E6" s="75"/>
      <c r="F6" s="75"/>
      <c r="G6" s="75"/>
      <c r="H6" s="75"/>
    </row>
    <row r="7" customFormat="false" ht="14.25" hidden="false" customHeight="true" outlineLevel="0" collapsed="false">
      <c r="A7" s="65"/>
      <c r="B7" s="76"/>
      <c r="C7" s="77"/>
      <c r="D7" s="66"/>
      <c r="E7" s="66"/>
      <c r="F7" s="66"/>
      <c r="G7" s="66"/>
      <c r="H7" s="67"/>
    </row>
    <row r="8" customFormat="false" ht="15" hidden="false" customHeight="false" outlineLevel="0" collapsed="false">
      <c r="B8" s="76"/>
      <c r="C8" s="77"/>
      <c r="D8" s="66"/>
      <c r="E8" s="66"/>
      <c r="F8" s="66"/>
      <c r="G8" s="66"/>
      <c r="H8" s="67"/>
    </row>
    <row r="9" customFormat="false" ht="15" hidden="false" customHeight="false" outlineLevel="0" collapsed="false">
      <c r="A9" s="50"/>
      <c r="B9" s="50"/>
      <c r="C9" s="50"/>
      <c r="D9" s="50"/>
      <c r="E9" s="50"/>
      <c r="F9" s="50"/>
      <c r="G9" s="50"/>
      <c r="H9" s="50"/>
    </row>
    <row r="10" customFormat="false" ht="33.75" hidden="false" customHeight="true" outlineLevel="0" collapsed="false">
      <c r="A10" s="78"/>
      <c r="B10" s="79" t="s">
        <v>25</v>
      </c>
      <c r="C10" s="80" t="s">
        <v>114</v>
      </c>
      <c r="D10" s="81" t="s">
        <v>115</v>
      </c>
      <c r="E10" s="80" t="s">
        <v>116</v>
      </c>
      <c r="F10" s="80" t="s">
        <v>117</v>
      </c>
      <c r="G10" s="82" t="s">
        <v>118</v>
      </c>
      <c r="H10" s="83" t="s">
        <v>119</v>
      </c>
    </row>
    <row r="11" customFormat="false" ht="29.85" hidden="false" customHeight="false" outlineLevel="0" collapsed="false">
      <c r="A11" s="78"/>
      <c r="B11" s="84" t="n">
        <v>1</v>
      </c>
      <c r="C11" s="85" t="s">
        <v>120</v>
      </c>
      <c r="D11" s="86" t="n">
        <f aca="false">COUNTIF('Feature 1'!$F$12:$F$32,"Passed")</f>
        <v>21</v>
      </c>
      <c r="E11" s="86" t="n">
        <f aca="false">COUNTIF('Feature 1'!$F$12:$F$32,"Failed")</f>
        <v>0</v>
      </c>
      <c r="F11" s="86" t="n">
        <f aca="false">COUNTIF('Feature 1'!$F$12:$F$32,"Pending")</f>
        <v>0</v>
      </c>
      <c r="G11" s="86" t="n">
        <f aca="false">COUNTIF('Feature 1'!$F$12:$F$32,"Blocked")</f>
        <v>0</v>
      </c>
      <c r="H11" s="87" t="n">
        <f aca="false">SUM(D11:G11)</f>
        <v>21</v>
      </c>
    </row>
    <row r="12" customFormat="false" ht="29.85" hidden="false" customHeight="false" outlineLevel="0" collapsed="false">
      <c r="A12" s="78"/>
      <c r="B12" s="84" t="n">
        <v>2</v>
      </c>
      <c r="C12" s="85" t="s">
        <v>121</v>
      </c>
      <c r="D12" s="86" t="n">
        <f aca="false">COUNTIF('Feature 2'!$F$12:$F$17,"Passed")</f>
        <v>0</v>
      </c>
      <c r="E12" s="86" t="n">
        <f aca="false">COUNTIF('Feature 2'!$F$12:$F$17,"Failed")</f>
        <v>0</v>
      </c>
      <c r="F12" s="86" t="n">
        <f aca="false">COUNTIF('Feature 2'!$F$12:$F$17,"Pending")</f>
        <v>6</v>
      </c>
      <c r="G12" s="86" t="n">
        <f aca="false">COUNTIF('Feature 2'!$F$12:$F$17,"Blocked")</f>
        <v>0</v>
      </c>
      <c r="H12" s="86" t="n">
        <f aca="false">SUM(D12:G12)</f>
        <v>6</v>
      </c>
    </row>
    <row r="13" customFormat="false" ht="15" hidden="false" customHeight="false" outlineLevel="0" collapsed="false">
      <c r="A13" s="78"/>
      <c r="B13" s="84"/>
      <c r="C13" s="88"/>
      <c r="D13" s="86"/>
      <c r="E13" s="86"/>
      <c r="F13" s="86"/>
      <c r="G13" s="89"/>
      <c r="H13" s="87"/>
    </row>
    <row r="14" customFormat="false" ht="15" hidden="false" customHeight="false" outlineLevel="0" collapsed="false">
      <c r="A14" s="78"/>
      <c r="B14" s="90"/>
      <c r="C14" s="91" t="s">
        <v>122</v>
      </c>
      <c r="D14" s="92" t="n">
        <f aca="false">SUM(D11:D12)</f>
        <v>21</v>
      </c>
      <c r="E14" s="92" t="n">
        <f aca="false">SUM(E11:E12)</f>
        <v>0</v>
      </c>
      <c r="F14" s="92" t="n">
        <f aca="false">SUM(F11:F12)</f>
        <v>6</v>
      </c>
      <c r="G14" s="92" t="n">
        <f aca="false">SUM(G11:G12)</f>
        <v>0</v>
      </c>
      <c r="H14" s="93" t="n">
        <f aca="false">SUM(H11:H12)</f>
        <v>27</v>
      </c>
    </row>
    <row r="15" customFormat="false" ht="15" hidden="false" customHeight="false" outlineLevel="0" collapsed="false">
      <c r="A15" s="50"/>
      <c r="B15" s="94"/>
      <c r="C15" s="50"/>
      <c r="D15" s="95"/>
      <c r="E15" s="96"/>
      <c r="F15" s="96"/>
      <c r="G15" s="96"/>
      <c r="H15" s="96"/>
    </row>
    <row r="16" customFormat="false" ht="36" hidden="false" customHeight="true" outlineLevel="0" collapsed="false">
      <c r="A16" s="50"/>
      <c r="B16" s="50"/>
      <c r="C16" s="97" t="s">
        <v>123</v>
      </c>
      <c r="D16" s="50"/>
      <c r="E16" s="98" t="n">
        <f aca="false">IFERROR((D14+E14)/(H14),0)</f>
        <v>0.777777777777778</v>
      </c>
      <c r="F16" s="99"/>
      <c r="G16" s="50"/>
      <c r="H16" s="100"/>
    </row>
    <row r="17" customFormat="false" ht="36" hidden="false" customHeight="true" outlineLevel="0" collapsed="false">
      <c r="A17" s="50"/>
      <c r="B17" s="50"/>
      <c r="C17" s="97" t="s">
        <v>124</v>
      </c>
      <c r="D17" s="50"/>
      <c r="E17" s="98" t="n">
        <f aca="false">IFERROR(D14/(D14+E14),0)</f>
        <v>1</v>
      </c>
      <c r="F17" s="99"/>
      <c r="G17" s="50"/>
      <c r="H17" s="100"/>
    </row>
    <row r="18" customFormat="false" ht="15" hidden="false" customHeight="false" outlineLevel="0" collapsed="false">
      <c r="C18" s="50"/>
      <c r="D18" s="50"/>
    </row>
    <row r="19" customFormat="false" ht="31.5" hidden="false" customHeight="true" outlineLevel="0" collapsed="false">
      <c r="B19" s="101" t="s">
        <v>125</v>
      </c>
      <c r="C19" s="101" t="s">
        <v>126</v>
      </c>
      <c r="D19" s="101" t="s">
        <v>127</v>
      </c>
      <c r="E19" s="101"/>
      <c r="F19" s="101"/>
      <c r="G19" s="101"/>
      <c r="H19" s="101"/>
    </row>
    <row r="20" customFormat="false" ht="33.75" hidden="false" customHeight="true" outlineLevel="0" collapsed="false">
      <c r="B20" s="102" t="s">
        <v>128</v>
      </c>
      <c r="C20" s="103" t="n">
        <v>27</v>
      </c>
      <c r="D20" s="104" t="s">
        <v>129</v>
      </c>
      <c r="E20" s="104"/>
      <c r="F20" s="104"/>
      <c r="G20" s="104"/>
      <c r="H20" s="104"/>
    </row>
    <row r="21" customFormat="false" ht="33.75" hidden="false" customHeight="true" outlineLevel="0" collapsed="false">
      <c r="B21" s="102" t="s">
        <v>130</v>
      </c>
      <c r="C21" s="103" t="n">
        <v>21</v>
      </c>
      <c r="D21" s="104" t="s">
        <v>131</v>
      </c>
      <c r="E21" s="104"/>
      <c r="F21" s="104"/>
      <c r="G21" s="104"/>
      <c r="H21" s="104"/>
    </row>
    <row r="22" customFormat="false" ht="33.75" hidden="false" customHeight="true" outlineLevel="0" collapsed="false">
      <c r="B22" s="102" t="s">
        <v>115</v>
      </c>
      <c r="C22" s="103" t="n">
        <v>21</v>
      </c>
      <c r="D22" s="104" t="s">
        <v>132</v>
      </c>
      <c r="E22" s="104"/>
      <c r="F22" s="104"/>
      <c r="G22" s="104"/>
      <c r="H22" s="104"/>
    </row>
    <row r="23" customFormat="false" ht="33.75" hidden="false" customHeight="true" outlineLevel="0" collapsed="false">
      <c r="B23" s="102" t="s">
        <v>116</v>
      </c>
      <c r="C23" s="103" t="n">
        <v>0</v>
      </c>
      <c r="D23" s="104" t="s">
        <v>133</v>
      </c>
      <c r="E23" s="104"/>
      <c r="F23" s="104"/>
      <c r="G23" s="104"/>
      <c r="H23" s="104"/>
    </row>
    <row r="24" customFormat="false" ht="33.75" hidden="false" customHeight="true" outlineLevel="0" collapsed="false">
      <c r="B24" s="102" t="s">
        <v>118</v>
      </c>
      <c r="C24" s="103" t="n">
        <v>0</v>
      </c>
      <c r="D24" s="104" t="s">
        <v>134</v>
      </c>
      <c r="E24" s="104"/>
      <c r="F24" s="104"/>
      <c r="G24" s="104"/>
      <c r="H24" s="104"/>
    </row>
    <row r="25" customFormat="false" ht="33.75" hidden="false" customHeight="true" outlineLevel="0" collapsed="false">
      <c r="B25" s="102" t="s">
        <v>135</v>
      </c>
      <c r="C25" s="103" t="n">
        <v>6</v>
      </c>
      <c r="D25" s="104" t="s">
        <v>136</v>
      </c>
      <c r="E25" s="104"/>
      <c r="F25" s="104"/>
      <c r="G25" s="104"/>
      <c r="H25" s="104"/>
    </row>
    <row r="26" customFormat="false" ht="43.5" hidden="false" customHeight="true" outlineLevel="0" collapsed="false">
      <c r="B26" s="102" t="s">
        <v>137</v>
      </c>
      <c r="C26" s="105" t="n">
        <v>1</v>
      </c>
      <c r="D26" s="104" t="s">
        <v>138</v>
      </c>
      <c r="E26" s="104"/>
      <c r="F26" s="104"/>
      <c r="G26" s="104"/>
      <c r="H26" s="104"/>
    </row>
    <row r="27" customFormat="false" ht="43.5" hidden="false" customHeight="true" outlineLevel="0" collapsed="false">
      <c r="B27" s="102" t="s">
        <v>139</v>
      </c>
      <c r="C27" s="105" t="n">
        <v>1</v>
      </c>
      <c r="D27" s="104" t="s">
        <v>138</v>
      </c>
      <c r="E27" s="104"/>
      <c r="F27" s="104"/>
      <c r="G27" s="104"/>
      <c r="H27" s="104"/>
    </row>
    <row r="28" customFormat="false" ht="43.5" hidden="false" customHeight="true" outlineLevel="0" collapsed="false">
      <c r="B28" s="102" t="s">
        <v>140</v>
      </c>
      <c r="C28" s="103" t="n">
        <v>160</v>
      </c>
      <c r="D28" s="104" t="s">
        <v>141</v>
      </c>
      <c r="E28" s="104"/>
      <c r="F28" s="104"/>
      <c r="G28" s="104"/>
      <c r="H28" s="104"/>
    </row>
    <row r="29" customFormat="false" ht="33.75" hidden="false" customHeight="true" outlineLevel="0" collapsed="false">
      <c r="B29" s="102" t="s">
        <v>142</v>
      </c>
      <c r="C29" s="103" t="n">
        <v>12</v>
      </c>
      <c r="D29" s="104" t="s">
        <v>143</v>
      </c>
      <c r="E29" s="104"/>
      <c r="F29" s="104"/>
      <c r="G29" s="104"/>
      <c r="H29" s="104"/>
    </row>
  </sheetData>
  <mergeCells count="19">
    <mergeCell ref="B1:H1"/>
    <mergeCell ref="C3:D3"/>
    <mergeCell ref="E3:F3"/>
    <mergeCell ref="C4:D4"/>
    <mergeCell ref="E4:F4"/>
    <mergeCell ref="C5:D5"/>
    <mergeCell ref="E5:F5"/>
    <mergeCell ref="C6:H6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ns1="http://schemas.openxmlformats.org/officeDocument/2006/relationships">
  <sheetPr filterMode="false">
    <outlinePr summaryBelow="0"/>
    <pageSetUpPr fitToPage="tru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F12" activeCellId="0" sqref="F12"/>
    </sheetView>
  </sheetViews>
  <sheetFormatPr defaultColWidth="9.00390625" defaultRowHeight="12.75" customHeight="false" zeroHeight="false" outlineLevelRow="1" outlineLevelCol="1"/>
  <cols>
    <col collapsed="false" customWidth="true" hidden="false" outlineLevel="0" max="1" min="1" style="38" width="18"/>
    <col collapsed="false" customWidth="true" hidden="false" outlineLevel="0" max="2" min="2" style="38" width="45"/>
    <col collapsed="false" customWidth="true" hidden="false" outlineLevel="0" max="3" min="3" style="38" width="85"/>
    <col collapsed="false" customWidth="true" hidden="false" outlineLevel="0" max="4" min="4" style="38" width="48"/>
    <col collapsed="false" customWidth="true" hidden="false" outlineLevel="0" max="5" min="5" style="38" width="46"/>
    <col collapsed="false" customWidth="true" hidden="false" outlineLevel="0" max="6" min="6" style="38" width="12"/>
    <col collapsed="false" customWidth="true" hidden="false" outlineLevel="1" max="7" min="7" style="38" width="18"/>
    <col collapsed="false" customWidth="true" hidden="false" outlineLevel="1" max="8" min="8" style="38" width="16"/>
    <col collapsed="false" customWidth="true" hidden="false" outlineLevel="0" max="9" min="9" style="38" width="10"/>
    <col collapsed="false" customWidth="true" hidden="false" outlineLevel="1" max="11" min="10" style="38" width="14"/>
    <col collapsed="false" customWidth="true" hidden="false" outlineLevel="0" max="12" min="12" style="38" width="10"/>
    <col collapsed="false" customWidth="true" hidden="false" outlineLevel="1" max="14" min="13" style="38" width="14"/>
    <col collapsed="false" customWidth="true" hidden="false" outlineLevel="0" max="15" min="15" style="38" width="62"/>
    <col collapsed="false" customWidth="true" hidden="false" outlineLevel="0" max="16" min="16" style="38" width="10.12"/>
    <col collapsed="false" customWidth="true" hidden="false" outlineLevel="0" max="17" min="17" style="106" width="8.13"/>
    <col collapsed="false" customWidth="true" hidden="true" outlineLevel="0" max="18" min="18" style="38" width="7.63"/>
    <col collapsed="false" customWidth="false" hidden="false" outlineLevel="0" max="16384" min="19" style="38" width="9"/>
  </cols>
  <sheetData>
    <row r="1" s="114" customFormat="true" ht="36" hidden="false" customHeight="true" outlineLevel="0" collapsed="false">
      <c r="A1" s="107" t="s">
        <v>120</v>
      </c>
      <c r="B1" s="108" t="s">
        <v>120</v>
      </c>
      <c r="C1" s="108"/>
      <c r="D1" s="108"/>
      <c r="E1" s="108"/>
      <c r="F1" s="109"/>
      <c r="G1" s="110"/>
      <c r="H1" s="111"/>
      <c r="I1" s="109"/>
      <c r="J1" s="110"/>
      <c r="K1" s="111"/>
      <c r="L1" s="109"/>
      <c r="M1" s="110"/>
      <c r="N1" s="111"/>
      <c r="O1" s="111"/>
      <c r="P1" s="111"/>
      <c r="Q1" s="112"/>
      <c r="R1" s="113" t="s">
        <v>115</v>
      </c>
    </row>
    <row r="2" s="114" customFormat="true" ht="36" hidden="false" customHeight="true" outlineLevel="0" collapsed="false">
      <c r="A2" s="115" t="s">
        <v>144</v>
      </c>
      <c r="B2" s="116" t="s">
        <v>145</v>
      </c>
      <c r="C2" s="116"/>
      <c r="D2" s="116"/>
      <c r="E2" s="116"/>
      <c r="F2" s="109"/>
      <c r="G2" s="110"/>
      <c r="H2" s="111"/>
      <c r="I2" s="109"/>
      <c r="J2" s="110"/>
      <c r="K2" s="111"/>
      <c r="L2" s="109"/>
      <c r="M2" s="110"/>
      <c r="N2" s="111"/>
      <c r="O2" s="111"/>
      <c r="P2" s="111"/>
      <c r="Q2" s="112"/>
      <c r="R2" s="113" t="s">
        <v>116</v>
      </c>
    </row>
    <row r="3" s="114" customFormat="true" ht="36" hidden="false" customHeight="true" outlineLevel="0" collapsed="false">
      <c r="A3" s="115" t="s">
        <v>146</v>
      </c>
      <c r="B3" s="116" t="n">
        <f aca="false">COUNTA(A12:A32)</f>
        <v>21</v>
      </c>
      <c r="C3" s="116"/>
      <c r="D3" s="116"/>
      <c r="E3" s="116"/>
      <c r="F3" s="109"/>
      <c r="G3" s="110"/>
      <c r="H3" s="111"/>
      <c r="I3" s="109"/>
      <c r="J3" s="110"/>
      <c r="K3" s="111"/>
      <c r="L3" s="109"/>
      <c r="M3" s="110"/>
      <c r="N3" s="111"/>
      <c r="O3" s="111"/>
      <c r="P3" s="111"/>
      <c r="Q3" s="112"/>
      <c r="R3" s="113" t="s">
        <v>117</v>
      </c>
    </row>
    <row r="4" s="114" customFormat="true" ht="36" hidden="false" customHeight="true" outlineLevel="0" collapsed="false">
      <c r="A4" s="117" t="s">
        <v>147</v>
      </c>
      <c r="B4" s="118" t="s">
        <v>115</v>
      </c>
      <c r="C4" s="118" t="s">
        <v>116</v>
      </c>
      <c r="D4" s="118" t="s">
        <v>117</v>
      </c>
      <c r="E4" s="119" t="s">
        <v>118</v>
      </c>
      <c r="F4" s="120"/>
      <c r="G4" s="120"/>
      <c r="H4" s="121"/>
      <c r="I4" s="120"/>
      <c r="J4" s="120"/>
      <c r="K4" s="121"/>
      <c r="L4" s="120"/>
      <c r="M4" s="120"/>
      <c r="N4" s="121"/>
      <c r="O4" s="121"/>
      <c r="P4" s="121"/>
      <c r="Q4" s="122"/>
      <c r="R4" s="113" t="s">
        <v>148</v>
      </c>
    </row>
    <row r="5" s="114" customFormat="true" ht="15" hidden="false" customHeight="true" outlineLevel="0" collapsed="false">
      <c r="A5" s="117" t="s">
        <v>149</v>
      </c>
      <c r="B5" s="123" t="n">
        <f aca="false">COUNTIF($F$12:$F$32,"Passed")</f>
        <v>21</v>
      </c>
      <c r="C5" s="123" t="n">
        <f aca="false">COUNTIF($F$12:$F$32,"Failed")</f>
        <v>0</v>
      </c>
      <c r="D5" s="123" t="n">
        <f aca="false">COUNTIF($F$12:$F$32,"Pending")</f>
        <v>0</v>
      </c>
      <c r="E5" s="124" t="n">
        <f aca="false">COUNTIF($F$12:$F$32,"Blocked")</f>
        <v>0</v>
      </c>
      <c r="F5" s="125"/>
      <c r="G5" s="125"/>
      <c r="H5" s="121"/>
      <c r="I5" s="125"/>
      <c r="J5" s="125"/>
      <c r="K5" s="121"/>
      <c r="L5" s="125"/>
      <c r="M5" s="125"/>
      <c r="N5" s="121"/>
      <c r="O5" s="121"/>
      <c r="P5" s="121"/>
      <c r="Q5" s="122"/>
    </row>
    <row r="6" s="114" customFormat="true" ht="15" hidden="false" customHeight="true" outlineLevel="0" collapsed="false">
      <c r="A6" s="117" t="s">
        <v>150</v>
      </c>
      <c r="B6" s="123" t="n">
        <f aca="false">COUNTIF($F10:$F996,B4)</f>
        <v>21</v>
      </c>
      <c r="C6" s="123" t="n">
        <f aca="false">COUNTIF($F10:$F996,C4)</f>
        <v>0</v>
      </c>
      <c r="D6" s="123" t="n">
        <f aca="false">COUNTIF($F10:$F996,D4)</f>
        <v>0</v>
      </c>
      <c r="E6" s="124" t="n">
        <f aca="false">COUNTIF($F10:$F996,E4)</f>
        <v>0</v>
      </c>
      <c r="F6" s="125"/>
      <c r="G6" s="125"/>
      <c r="H6" s="121"/>
      <c r="I6" s="125"/>
      <c r="J6" s="125"/>
      <c r="K6" s="121"/>
      <c r="L6" s="125"/>
      <c r="M6" s="125"/>
      <c r="N6" s="121"/>
      <c r="O6" s="121"/>
      <c r="P6" s="121"/>
      <c r="Q6" s="122"/>
    </row>
    <row r="7" s="114" customFormat="true" ht="15" hidden="false" customHeight="true" outlineLevel="0" collapsed="false">
      <c r="A7" s="126" t="s">
        <v>151</v>
      </c>
      <c r="B7" s="127" t="n">
        <f aca="false">COUNTIF($F10:$F996,B4)</f>
        <v>21</v>
      </c>
      <c r="C7" s="127" t="n">
        <f aca="false">COUNTIF($F10:$F996,C4)</f>
        <v>0</v>
      </c>
      <c r="D7" s="127" t="n">
        <f aca="false">COUNTIF($F10:$F996,D4)</f>
        <v>0</v>
      </c>
      <c r="E7" s="128" t="n">
        <f aca="false">COUNTIF($F10:$F996,E4)</f>
        <v>0</v>
      </c>
      <c r="F7" s="125"/>
      <c r="G7" s="125"/>
      <c r="H7" s="121"/>
      <c r="I7" s="125"/>
      <c r="J7" s="125"/>
      <c r="K7" s="121"/>
      <c r="L7" s="125"/>
      <c r="M7" s="125"/>
      <c r="N7" s="121"/>
      <c r="O7" s="121"/>
      <c r="P7" s="121"/>
      <c r="Q7" s="122"/>
    </row>
    <row r="8" s="114" customFormat="true" ht="9.75" hidden="false" customHeight="true" outlineLevel="0" collapsed="false">
      <c r="A8" s="121"/>
      <c r="B8" s="121"/>
      <c r="C8" s="121"/>
      <c r="D8" s="121"/>
      <c r="E8" s="121"/>
      <c r="F8" s="100"/>
      <c r="G8" s="121"/>
      <c r="H8" s="121"/>
      <c r="I8" s="100"/>
      <c r="J8" s="121"/>
      <c r="K8" s="121"/>
      <c r="L8" s="100"/>
      <c r="M8" s="121"/>
      <c r="N8" s="121"/>
      <c r="O8" s="121"/>
      <c r="P8" s="121"/>
      <c r="Q8" s="122"/>
    </row>
    <row r="9" s="114" customFormat="true" ht="8.25" hidden="false" customHeight="true" outlineLevel="0" collapsed="false">
      <c r="A9" s="121"/>
      <c r="B9" s="121"/>
      <c r="C9" s="121"/>
      <c r="D9" s="121"/>
      <c r="E9" s="121"/>
      <c r="F9" s="100"/>
      <c r="G9" s="121"/>
      <c r="H9" s="121"/>
      <c r="I9" s="100"/>
      <c r="J9" s="121"/>
      <c r="K9" s="121"/>
      <c r="L9" s="100"/>
      <c r="M9" s="121"/>
      <c r="N9" s="121"/>
      <c r="O9" s="121"/>
      <c r="P9" s="121"/>
      <c r="Q9" s="122"/>
    </row>
    <row r="10" s="114" customFormat="true" ht="42" hidden="false" customHeight="true" outlineLevel="0" collapsed="false">
      <c r="A10" s="129" t="s">
        <v>152</v>
      </c>
      <c r="B10" s="129" t="s">
        <v>153</v>
      </c>
      <c r="C10" s="129" t="s">
        <v>154</v>
      </c>
      <c r="D10" s="129" t="s">
        <v>155</v>
      </c>
      <c r="E10" s="129" t="s">
        <v>156</v>
      </c>
      <c r="F10" s="129" t="s">
        <v>149</v>
      </c>
      <c r="G10" s="129" t="s">
        <v>157</v>
      </c>
      <c r="H10" s="129" t="s">
        <v>158</v>
      </c>
      <c r="I10" s="129" t="s">
        <v>150</v>
      </c>
      <c r="J10" s="129" t="s">
        <v>157</v>
      </c>
      <c r="K10" s="129" t="s">
        <v>158</v>
      </c>
      <c r="L10" s="129" t="s">
        <v>151</v>
      </c>
      <c r="M10" s="129" t="s">
        <v>157</v>
      </c>
      <c r="N10" s="129" t="s">
        <v>158</v>
      </c>
      <c r="O10" s="129" t="s">
        <v>159</v>
      </c>
      <c r="Q10" s="130"/>
    </row>
    <row r="11" s="114" customFormat="true" ht="15.75" hidden="false" customHeight="true" outlineLevel="0" collapsed="false">
      <c r="A11" s="131" t="s">
        <v>160</v>
      </c>
      <c r="B11" s="132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Q11" s="135"/>
    </row>
    <row r="12" s="139" customFormat="true" ht="109.5" hidden="false" customHeight="true" outlineLevel="1" collapsed="false">
      <c r="A12" s="136" t="s">
        <v>161</v>
      </c>
      <c r="B12" s="137" t="s">
        <v>162</v>
      </c>
      <c r="C12" s="137" t="s">
        <v>163</v>
      </c>
      <c r="D12" s="46" t="s">
        <v>164</v>
      </c>
      <c r="E12" s="46" t="s">
        <v>33</v>
      </c>
      <c r="F12" s="136" t="s">
        <v>115</v>
      </c>
      <c r="G12" s="136" t="s">
        <v>165</v>
      </c>
      <c r="H12" s="136" t="s">
        <v>4</v>
      </c>
      <c r="I12" s="116" t="s">
        <v>148</v>
      </c>
      <c r="J12" s="116"/>
      <c r="K12" s="116"/>
      <c r="L12" s="116" t="s">
        <v>148</v>
      </c>
      <c r="M12" s="116"/>
      <c r="N12" s="116"/>
      <c r="O12" s="138" t="s">
        <v>166</v>
      </c>
      <c r="Q12" s="140"/>
    </row>
    <row r="13" customFormat="false" ht="109.5" hidden="false" customHeight="true" outlineLevel="1" collapsed="false">
      <c r="A13" s="136" t="s">
        <v>167</v>
      </c>
      <c r="B13" s="116" t="s">
        <v>168</v>
      </c>
      <c r="C13" s="116" t="s">
        <v>169</v>
      </c>
      <c r="D13" s="141" t="s">
        <v>170</v>
      </c>
      <c r="E13" s="141" t="s">
        <v>35</v>
      </c>
      <c r="F13" s="136" t="s">
        <v>115</v>
      </c>
      <c r="G13" s="136" t="s">
        <v>165</v>
      </c>
      <c r="H13" s="136" t="s">
        <v>4</v>
      </c>
      <c r="I13" s="116" t="s">
        <v>148</v>
      </c>
      <c r="J13" s="116"/>
      <c r="K13" s="116"/>
      <c r="L13" s="116" t="s">
        <v>148</v>
      </c>
      <c r="M13" s="116"/>
      <c r="N13" s="116"/>
      <c r="O13" s="138" t="s">
        <v>171</v>
      </c>
      <c r="Q13" s="140"/>
    </row>
    <row r="14" customFormat="false" ht="109.5" hidden="false" customHeight="true" outlineLevel="1" collapsed="false">
      <c r="A14" s="136" t="s">
        <v>172</v>
      </c>
      <c r="B14" s="116" t="s">
        <v>173</v>
      </c>
      <c r="C14" s="116" t="s">
        <v>174</v>
      </c>
      <c r="D14" s="141" t="s">
        <v>175</v>
      </c>
      <c r="E14" s="141" t="s">
        <v>37</v>
      </c>
      <c r="F14" s="136" t="s">
        <v>115</v>
      </c>
      <c r="G14" s="136" t="s">
        <v>165</v>
      </c>
      <c r="H14" s="136" t="s">
        <v>4</v>
      </c>
      <c r="I14" s="116" t="s">
        <v>148</v>
      </c>
      <c r="J14" s="116"/>
      <c r="K14" s="116"/>
      <c r="L14" s="116" t="s">
        <v>148</v>
      </c>
      <c r="M14" s="116"/>
      <c r="N14" s="116"/>
      <c r="O14" s="138" t="s">
        <v>176</v>
      </c>
      <c r="Q14" s="140"/>
    </row>
    <row r="15" s="114" customFormat="true" ht="109.5" hidden="false" customHeight="true" outlineLevel="0" collapsed="false">
      <c r="A15" s="142" t="s">
        <v>177</v>
      </c>
      <c r="B15" s="143" t="s">
        <v>178</v>
      </c>
      <c r="C15" s="144" t="s">
        <v>179</v>
      </c>
      <c r="D15" s="144" t="s">
        <v>180</v>
      </c>
      <c r="E15" s="144" t="s">
        <v>40</v>
      </c>
      <c r="F15" s="145" t="s">
        <v>115</v>
      </c>
      <c r="G15" s="145" t="s">
        <v>165</v>
      </c>
      <c r="H15" s="145" t="s">
        <v>4</v>
      </c>
      <c r="I15" s="144" t="s">
        <v>148</v>
      </c>
      <c r="J15" s="144"/>
      <c r="K15" s="144"/>
      <c r="L15" s="144" t="s">
        <v>148</v>
      </c>
      <c r="M15" s="144"/>
      <c r="N15" s="144"/>
      <c r="O15" s="146" t="s">
        <v>181</v>
      </c>
      <c r="Q15" s="135"/>
    </row>
    <row r="16" customFormat="false" ht="109.5" hidden="false" customHeight="true" outlineLevel="1" collapsed="false">
      <c r="A16" s="136" t="s">
        <v>182</v>
      </c>
      <c r="B16" s="116" t="s">
        <v>183</v>
      </c>
      <c r="C16" s="116" t="s">
        <v>184</v>
      </c>
      <c r="D16" s="116" t="s">
        <v>185</v>
      </c>
      <c r="E16" s="116" t="s">
        <v>42</v>
      </c>
      <c r="F16" s="136" t="s">
        <v>115</v>
      </c>
      <c r="G16" s="136" t="s">
        <v>165</v>
      </c>
      <c r="H16" s="136" t="s">
        <v>4</v>
      </c>
      <c r="I16" s="116" t="s">
        <v>148</v>
      </c>
      <c r="J16" s="116"/>
      <c r="K16" s="116"/>
      <c r="L16" s="116" t="s">
        <v>148</v>
      </c>
      <c r="M16" s="116"/>
      <c r="N16" s="116"/>
      <c r="O16" s="138" t="s">
        <v>186</v>
      </c>
      <c r="Q16" s="140"/>
    </row>
    <row r="17" customFormat="false" ht="109.5" hidden="false" customHeight="true" outlineLevel="1" collapsed="false">
      <c r="A17" s="136" t="s">
        <v>187</v>
      </c>
      <c r="B17" s="116" t="s">
        <v>188</v>
      </c>
      <c r="C17" s="116" t="s">
        <v>189</v>
      </c>
      <c r="D17" s="116" t="s">
        <v>190</v>
      </c>
      <c r="E17" s="116" t="s">
        <v>45</v>
      </c>
      <c r="F17" s="136" t="s">
        <v>115</v>
      </c>
      <c r="G17" s="147" t="s">
        <v>191</v>
      </c>
      <c r="H17" s="147" t="s">
        <v>4</v>
      </c>
      <c r="I17" s="116" t="s">
        <v>148</v>
      </c>
      <c r="J17" s="138"/>
      <c r="K17" s="138"/>
      <c r="L17" s="116" t="s">
        <v>148</v>
      </c>
      <c r="M17" s="138"/>
      <c r="N17" s="138"/>
      <c r="O17" s="138" t="s">
        <v>192</v>
      </c>
      <c r="Q17" s="148"/>
    </row>
    <row r="18" s="114" customFormat="true" ht="109.5" hidden="false" customHeight="true" outlineLevel="0" collapsed="false">
      <c r="A18" s="142" t="s">
        <v>193</v>
      </c>
      <c r="B18" s="143" t="s">
        <v>194</v>
      </c>
      <c r="C18" s="144" t="s">
        <v>195</v>
      </c>
      <c r="D18" s="144" t="s">
        <v>196</v>
      </c>
      <c r="E18" s="144" t="s">
        <v>48</v>
      </c>
      <c r="F18" s="145" t="s">
        <v>115</v>
      </c>
      <c r="G18" s="145" t="s">
        <v>191</v>
      </c>
      <c r="H18" s="145" t="s">
        <v>4</v>
      </c>
      <c r="I18" s="144" t="s">
        <v>148</v>
      </c>
      <c r="J18" s="144"/>
      <c r="K18" s="144"/>
      <c r="L18" s="144" t="s">
        <v>148</v>
      </c>
      <c r="M18" s="144"/>
      <c r="N18" s="144"/>
      <c r="O18" s="146" t="s">
        <v>197</v>
      </c>
      <c r="Q18" s="135"/>
    </row>
    <row r="19" customFormat="false" ht="109.5" hidden="false" customHeight="true" outlineLevel="1" collapsed="false">
      <c r="A19" s="136" t="s">
        <v>198</v>
      </c>
      <c r="B19" s="116" t="s">
        <v>199</v>
      </c>
      <c r="C19" s="116" t="s">
        <v>200</v>
      </c>
      <c r="D19" s="116" t="s">
        <v>201</v>
      </c>
      <c r="E19" s="116" t="s">
        <v>51</v>
      </c>
      <c r="F19" s="136" t="s">
        <v>115</v>
      </c>
      <c r="G19" s="136" t="s">
        <v>191</v>
      </c>
      <c r="H19" s="136" t="s">
        <v>4</v>
      </c>
      <c r="I19" s="116" t="s">
        <v>148</v>
      </c>
      <c r="J19" s="116"/>
      <c r="K19" s="116"/>
      <c r="L19" s="116" t="s">
        <v>148</v>
      </c>
      <c r="M19" s="116"/>
      <c r="N19" s="116"/>
      <c r="O19" s="138" t="s">
        <v>202</v>
      </c>
      <c r="Q19" s="140"/>
    </row>
    <row r="20" customFormat="false" ht="109.5" hidden="false" customHeight="true" outlineLevel="0" collapsed="false">
      <c r="A20" s="136" t="s">
        <v>203</v>
      </c>
      <c r="B20" s="137" t="s">
        <v>204</v>
      </c>
      <c r="C20" s="137" t="s">
        <v>205</v>
      </c>
      <c r="D20" s="46" t="s">
        <v>206</v>
      </c>
      <c r="E20" s="46" t="s">
        <v>54</v>
      </c>
      <c r="F20" s="136" t="s">
        <v>115</v>
      </c>
      <c r="G20" s="136" t="s">
        <v>207</v>
      </c>
      <c r="H20" s="136" t="s">
        <v>4</v>
      </c>
      <c r="I20" s="116" t="s">
        <v>148</v>
      </c>
      <c r="J20" s="116"/>
      <c r="K20" s="116"/>
      <c r="L20" s="116" t="s">
        <v>148</v>
      </c>
      <c r="M20" s="116"/>
      <c r="N20" s="116"/>
      <c r="O20" s="138" t="s">
        <v>208</v>
      </c>
      <c r="Q20" s="140"/>
    </row>
    <row r="21" customFormat="false" ht="109.5" hidden="false" customHeight="true" outlineLevel="0" collapsed="false">
      <c r="A21" s="136" t="s">
        <v>209</v>
      </c>
      <c r="B21" s="137" t="s">
        <v>210</v>
      </c>
      <c r="C21" s="137" t="s">
        <v>211</v>
      </c>
      <c r="D21" s="46" t="s">
        <v>212</v>
      </c>
      <c r="E21" s="46" t="s">
        <v>57</v>
      </c>
      <c r="F21" s="136" t="s">
        <v>115</v>
      </c>
      <c r="G21" s="136" t="s">
        <v>213</v>
      </c>
      <c r="H21" s="136" t="s">
        <v>214</v>
      </c>
      <c r="I21" s="116" t="s">
        <v>148</v>
      </c>
      <c r="J21" s="116"/>
      <c r="K21" s="116"/>
      <c r="L21" s="116" t="s">
        <v>148</v>
      </c>
      <c r="M21" s="116"/>
      <c r="N21" s="116"/>
      <c r="O21" s="138" t="s">
        <v>215</v>
      </c>
      <c r="Q21" s="140"/>
    </row>
    <row r="22" customFormat="false" ht="109.5" hidden="false" customHeight="true" outlineLevel="0" collapsed="false">
      <c r="A22" s="136" t="s">
        <v>216</v>
      </c>
      <c r="B22" s="137" t="s">
        <v>217</v>
      </c>
      <c r="C22" s="137" t="s">
        <v>218</v>
      </c>
      <c r="D22" s="46" t="s">
        <v>219</v>
      </c>
      <c r="E22" s="46" t="s">
        <v>60</v>
      </c>
      <c r="F22" s="136" t="s">
        <v>115</v>
      </c>
      <c r="G22" s="136" t="s">
        <v>213</v>
      </c>
      <c r="H22" s="136" t="s">
        <v>214</v>
      </c>
      <c r="I22" s="116" t="s">
        <v>148</v>
      </c>
      <c r="J22" s="116"/>
      <c r="K22" s="116"/>
      <c r="L22" s="116" t="s">
        <v>148</v>
      </c>
      <c r="M22" s="116"/>
      <c r="N22" s="116"/>
      <c r="O22" s="138" t="s">
        <v>220</v>
      </c>
      <c r="Q22" s="140"/>
    </row>
    <row r="23" customFormat="false" ht="109.5" hidden="false" customHeight="true" outlineLevel="0" collapsed="false">
      <c r="A23" s="136" t="s">
        <v>221</v>
      </c>
      <c r="B23" s="137" t="s">
        <v>222</v>
      </c>
      <c r="C23" s="137" t="s">
        <v>223</v>
      </c>
      <c r="D23" s="46" t="s">
        <v>224</v>
      </c>
      <c r="E23" s="46" t="s">
        <v>63</v>
      </c>
      <c r="F23" s="136" t="s">
        <v>115</v>
      </c>
      <c r="G23" s="136" t="s">
        <v>213</v>
      </c>
      <c r="H23" s="136" t="s">
        <v>214</v>
      </c>
      <c r="I23" s="116" t="s">
        <v>148</v>
      </c>
      <c r="J23" s="116"/>
      <c r="K23" s="116"/>
      <c r="L23" s="116" t="s">
        <v>148</v>
      </c>
      <c r="M23" s="116"/>
      <c r="N23" s="116"/>
      <c r="O23" s="138" t="s">
        <v>225</v>
      </c>
      <c r="Q23" s="140"/>
    </row>
    <row r="24" customFormat="false" ht="109.5" hidden="false" customHeight="true" outlineLevel="0" collapsed="false">
      <c r="A24" s="136" t="s">
        <v>226</v>
      </c>
      <c r="B24" s="137" t="s">
        <v>227</v>
      </c>
      <c r="C24" s="137" t="s">
        <v>228</v>
      </c>
      <c r="D24" s="46" t="s">
        <v>229</v>
      </c>
      <c r="E24" s="46" t="s">
        <v>66</v>
      </c>
      <c r="F24" s="136" t="s">
        <v>115</v>
      </c>
      <c r="G24" s="136" t="s">
        <v>213</v>
      </c>
      <c r="H24" s="136" t="s">
        <v>214</v>
      </c>
      <c r="I24" s="116" t="s">
        <v>148</v>
      </c>
      <c r="J24" s="116"/>
      <c r="K24" s="116"/>
      <c r="L24" s="116" t="s">
        <v>148</v>
      </c>
      <c r="M24" s="116"/>
      <c r="N24" s="116"/>
      <c r="O24" s="138" t="s">
        <v>230</v>
      </c>
      <c r="Q24" s="140"/>
    </row>
    <row r="25" customFormat="false" ht="109.5" hidden="false" customHeight="true" outlineLevel="0" collapsed="false">
      <c r="A25" s="136" t="s">
        <v>231</v>
      </c>
      <c r="B25" s="137" t="s">
        <v>232</v>
      </c>
      <c r="C25" s="137" t="s">
        <v>233</v>
      </c>
      <c r="D25" s="46" t="s">
        <v>234</v>
      </c>
      <c r="E25" s="46" t="s">
        <v>69</v>
      </c>
      <c r="F25" s="136" t="s">
        <v>115</v>
      </c>
      <c r="G25" s="136" t="s">
        <v>213</v>
      </c>
      <c r="H25" s="136" t="s">
        <v>214</v>
      </c>
      <c r="I25" s="116" t="s">
        <v>148</v>
      </c>
      <c r="J25" s="116"/>
      <c r="K25" s="116"/>
      <c r="L25" s="116" t="s">
        <v>148</v>
      </c>
      <c r="M25" s="116"/>
      <c r="N25" s="116"/>
      <c r="O25" s="138" t="s">
        <v>235</v>
      </c>
      <c r="Q25" s="140"/>
    </row>
    <row r="26" customFormat="false" ht="109.5" hidden="false" customHeight="true" outlineLevel="0" collapsed="false">
      <c r="A26" s="136" t="s">
        <v>236</v>
      </c>
      <c r="B26" s="137" t="s">
        <v>237</v>
      </c>
      <c r="C26" s="137" t="s">
        <v>238</v>
      </c>
      <c r="D26" s="46" t="s">
        <v>239</v>
      </c>
      <c r="E26" s="46" t="s">
        <v>72</v>
      </c>
      <c r="F26" s="136" t="s">
        <v>115</v>
      </c>
      <c r="G26" s="136" t="s">
        <v>213</v>
      </c>
      <c r="H26" s="136" t="s">
        <v>214</v>
      </c>
      <c r="I26" s="116" t="s">
        <v>148</v>
      </c>
      <c r="J26" s="116"/>
      <c r="K26" s="116"/>
      <c r="L26" s="116" t="s">
        <v>148</v>
      </c>
      <c r="M26" s="116"/>
      <c r="N26" s="116"/>
      <c r="O26" s="138" t="s">
        <v>240</v>
      </c>
      <c r="Q26" s="140"/>
    </row>
    <row r="27" customFormat="false" ht="109.5" hidden="false" customHeight="true" outlineLevel="0" collapsed="false">
      <c r="A27" s="136" t="s">
        <v>241</v>
      </c>
      <c r="B27" s="137" t="s">
        <v>242</v>
      </c>
      <c r="C27" s="137" t="s">
        <v>243</v>
      </c>
      <c r="D27" s="46" t="s">
        <v>244</v>
      </c>
      <c r="E27" s="46" t="s">
        <v>75</v>
      </c>
      <c r="F27" s="136" t="s">
        <v>115</v>
      </c>
      <c r="G27" s="136" t="s">
        <v>213</v>
      </c>
      <c r="H27" s="136" t="s">
        <v>214</v>
      </c>
      <c r="I27" s="116" t="s">
        <v>148</v>
      </c>
      <c r="J27" s="116"/>
      <c r="K27" s="116"/>
      <c r="L27" s="116" t="s">
        <v>148</v>
      </c>
      <c r="M27" s="116"/>
      <c r="N27" s="116"/>
      <c r="O27" s="138" t="s">
        <v>245</v>
      </c>
      <c r="Q27" s="140"/>
    </row>
    <row r="28" customFormat="false" ht="109.5" hidden="false" customHeight="true" outlineLevel="0" collapsed="false">
      <c r="A28" s="136" t="s">
        <v>246</v>
      </c>
      <c r="B28" s="137" t="s">
        <v>247</v>
      </c>
      <c r="C28" s="137" t="s">
        <v>248</v>
      </c>
      <c r="D28" s="46" t="s">
        <v>249</v>
      </c>
      <c r="E28" s="46" t="s">
        <v>78</v>
      </c>
      <c r="F28" s="136" t="s">
        <v>115</v>
      </c>
      <c r="G28" s="136" t="s">
        <v>250</v>
      </c>
      <c r="H28" s="136" t="s">
        <v>4</v>
      </c>
      <c r="I28" s="116" t="s">
        <v>148</v>
      </c>
      <c r="J28" s="116"/>
      <c r="K28" s="116"/>
      <c r="L28" s="116" t="s">
        <v>148</v>
      </c>
      <c r="M28" s="116"/>
      <c r="N28" s="116"/>
      <c r="O28" s="138" t="s">
        <v>251</v>
      </c>
      <c r="Q28" s="140"/>
    </row>
    <row r="29" customFormat="false" ht="109.5" hidden="false" customHeight="true" outlineLevel="0" collapsed="false">
      <c r="A29" s="136" t="s">
        <v>252</v>
      </c>
      <c r="B29" s="137" t="s">
        <v>253</v>
      </c>
      <c r="C29" s="137" t="s">
        <v>254</v>
      </c>
      <c r="D29" s="46" t="s">
        <v>255</v>
      </c>
      <c r="E29" s="46" t="s">
        <v>81</v>
      </c>
      <c r="F29" s="136" t="s">
        <v>115</v>
      </c>
      <c r="G29" s="136" t="s">
        <v>213</v>
      </c>
      <c r="H29" s="136" t="s">
        <v>214</v>
      </c>
      <c r="I29" s="116" t="s">
        <v>148</v>
      </c>
      <c r="J29" s="116"/>
      <c r="K29" s="116"/>
      <c r="L29" s="116" t="s">
        <v>148</v>
      </c>
      <c r="M29" s="116"/>
      <c r="N29" s="116"/>
      <c r="O29" s="138" t="s">
        <v>256</v>
      </c>
      <c r="Q29" s="140"/>
    </row>
    <row r="30" customFormat="false" ht="109.5" hidden="false" customHeight="true" outlineLevel="0" collapsed="false">
      <c r="A30" s="136" t="s">
        <v>257</v>
      </c>
      <c r="B30" s="137" t="s">
        <v>258</v>
      </c>
      <c r="C30" s="137" t="s">
        <v>259</v>
      </c>
      <c r="D30" s="46" t="s">
        <v>260</v>
      </c>
      <c r="E30" s="46" t="s">
        <v>84</v>
      </c>
      <c r="F30" s="136" t="s">
        <v>115</v>
      </c>
      <c r="G30" s="136" t="s">
        <v>261</v>
      </c>
      <c r="H30" s="136" t="s">
        <v>4</v>
      </c>
      <c r="I30" s="116" t="s">
        <v>148</v>
      </c>
      <c r="J30" s="116"/>
      <c r="K30" s="116"/>
      <c r="L30" s="116" t="s">
        <v>148</v>
      </c>
      <c r="M30" s="116"/>
      <c r="N30" s="116"/>
      <c r="O30" s="138" t="s">
        <v>262</v>
      </c>
      <c r="Q30" s="140"/>
    </row>
    <row r="31" customFormat="false" ht="109.5" hidden="false" customHeight="true" outlineLevel="0" collapsed="false">
      <c r="A31" s="136" t="s">
        <v>263</v>
      </c>
      <c r="B31" s="137" t="s">
        <v>264</v>
      </c>
      <c r="C31" s="137" t="s">
        <v>265</v>
      </c>
      <c r="D31" s="46" t="s">
        <v>266</v>
      </c>
      <c r="E31" s="46" t="s">
        <v>87</v>
      </c>
      <c r="F31" s="136" t="s">
        <v>115</v>
      </c>
      <c r="G31" s="136" t="s">
        <v>267</v>
      </c>
      <c r="H31" s="136" t="s">
        <v>4</v>
      </c>
      <c r="I31" s="116" t="s">
        <v>148</v>
      </c>
      <c r="J31" s="116"/>
      <c r="K31" s="116"/>
      <c r="L31" s="116" t="s">
        <v>148</v>
      </c>
      <c r="M31" s="116"/>
      <c r="N31" s="116"/>
      <c r="O31" s="138" t="s">
        <v>268</v>
      </c>
      <c r="Q31" s="140"/>
    </row>
    <row r="32" customFormat="false" ht="109.5" hidden="false" customHeight="true" outlineLevel="0" collapsed="false">
      <c r="A32" s="136" t="s">
        <v>269</v>
      </c>
      <c r="B32" s="137" t="s">
        <v>270</v>
      </c>
      <c r="C32" s="137" t="s">
        <v>271</v>
      </c>
      <c r="D32" s="46" t="s">
        <v>272</v>
      </c>
      <c r="E32" s="46" t="s">
        <v>90</v>
      </c>
      <c r="F32" s="136" t="s">
        <v>115</v>
      </c>
      <c r="G32" s="136" t="s">
        <v>213</v>
      </c>
      <c r="H32" s="136" t="s">
        <v>214</v>
      </c>
      <c r="I32" s="116" t="s">
        <v>148</v>
      </c>
      <c r="J32" s="116"/>
      <c r="K32" s="116"/>
      <c r="L32" s="116" t="s">
        <v>148</v>
      </c>
      <c r="M32" s="116"/>
      <c r="N32" s="116"/>
      <c r="O32" s="138" t="s">
        <v>273</v>
      </c>
      <c r="Q32" s="140"/>
    </row>
  </sheetData>
  <mergeCells count="3">
    <mergeCell ref="B1:E1"/>
    <mergeCell ref="B2:E2"/>
    <mergeCell ref="B3:E3"/>
  </mergeCells>
  <dataValidations count="2">
    <dataValidation allowBlank="true" errorStyle="stop" operator="between" showDropDown="false" showErrorMessage="true" showInputMessage="false" sqref="G1:G2 J1:J2 M1:M2 G8:G9 J8:J9 M8:M9 F12:F19 I12:I19 L12:L19 G20:G145 J20:J145 M20:M145" type="list">
      <formula1>$R$1:$R$4</formula1>
      <formula2>0</formula2>
    </dataValidation>
    <dataValidation allowBlank="true" errorStyle="stop" operator="between" showDropDown="false" showErrorMessage="true" showInputMessage="false" sqref="F10 I10 L10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fitToWidth="2" fitToHeight="0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ns1:id="rId2"/>
</worksheet>
</file>

<file path=xl/worksheets/sheet5.xml><?xml version="1.0" encoding="utf-8"?>
<worksheet xmlns="http://schemas.openxmlformats.org/spreadsheetml/2006/main" xmlns:ns1="http://schemas.openxmlformats.org/officeDocument/2006/relationships">
  <sheetPr filterMode="false">
    <outlinePr summaryBelow="0"/>
    <pageSetUpPr fitToPage="tru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H5" activeCellId="0" sqref="H5"/>
    </sheetView>
  </sheetViews>
  <sheetFormatPr defaultColWidth="9.00390625" defaultRowHeight="12.75" customHeight="false" zeroHeight="false" outlineLevelRow="1" outlineLevelCol="1"/>
  <cols>
    <col collapsed="false" customWidth="true" hidden="false" outlineLevel="0" max="1" min="1" style="38" width="18"/>
    <col collapsed="false" customWidth="true" hidden="false" outlineLevel="0" max="2" min="2" style="38" width="45"/>
    <col collapsed="false" customWidth="true" hidden="false" outlineLevel="0" max="3" min="3" style="38" width="85"/>
    <col collapsed="false" customWidth="true" hidden="false" outlineLevel="0" max="4" min="4" style="38" width="48"/>
    <col collapsed="false" customWidth="true" hidden="false" outlineLevel="0" max="5" min="5" style="38" width="46"/>
    <col collapsed="false" customWidth="true" hidden="false" outlineLevel="0" max="6" min="6" style="38" width="12"/>
    <col collapsed="false" customWidth="true" hidden="false" outlineLevel="1" max="7" min="7" style="38" width="18"/>
    <col collapsed="false" customWidth="true" hidden="false" outlineLevel="1" max="8" min="8" style="38" width="16"/>
    <col collapsed="false" customWidth="true" hidden="false" outlineLevel="0" max="9" min="9" style="38" width="10"/>
    <col collapsed="false" customWidth="true" hidden="false" outlineLevel="1" max="11" min="10" style="38" width="14"/>
    <col collapsed="false" customWidth="true" hidden="false" outlineLevel="0" max="12" min="12" style="38" width="10"/>
    <col collapsed="false" customWidth="true" hidden="false" outlineLevel="1" max="14" min="13" style="38" width="14"/>
    <col collapsed="false" customWidth="true" hidden="false" outlineLevel="0" max="15" min="15" style="38" width="62"/>
    <col collapsed="false" customWidth="true" hidden="false" outlineLevel="0" max="16" min="16" style="38" width="10.12"/>
    <col collapsed="false" customWidth="true" hidden="false" outlineLevel="0" max="17" min="17" style="106" width="8.13"/>
    <col collapsed="false" customWidth="true" hidden="true" outlineLevel="0" max="18" min="18" style="38" width="7.63"/>
    <col collapsed="false" customWidth="false" hidden="false" outlineLevel="0" max="16384" min="19" style="38" width="9"/>
  </cols>
  <sheetData>
    <row r="1" customFormat="false" ht="36" hidden="false" customHeight="true" outlineLevel="0" collapsed="false">
      <c r="A1" s="102" t="s">
        <v>121</v>
      </c>
    </row>
    <row r="2" s="114" customFormat="true" ht="36" hidden="false" customHeight="true" outlineLevel="0" collapsed="false">
      <c r="A2" s="107" t="s">
        <v>274</v>
      </c>
      <c r="B2" s="108" t="s">
        <v>121</v>
      </c>
      <c r="C2" s="108"/>
      <c r="D2" s="108"/>
      <c r="E2" s="108"/>
      <c r="F2" s="109"/>
      <c r="G2" s="110"/>
      <c r="H2" s="111"/>
      <c r="I2" s="109"/>
      <c r="J2" s="110"/>
      <c r="K2" s="111"/>
      <c r="L2" s="109"/>
      <c r="M2" s="110"/>
      <c r="N2" s="111"/>
      <c r="O2" s="111"/>
      <c r="P2" s="111"/>
      <c r="Q2" s="112"/>
      <c r="R2" s="113" t="s">
        <v>115</v>
      </c>
    </row>
    <row r="3" s="114" customFormat="true" ht="36" hidden="false" customHeight="true" outlineLevel="0" collapsed="false">
      <c r="A3" s="115" t="s">
        <v>144</v>
      </c>
      <c r="B3" s="116" t="s">
        <v>275</v>
      </c>
      <c r="C3" s="116"/>
      <c r="D3" s="116"/>
      <c r="E3" s="116"/>
      <c r="F3" s="109"/>
      <c r="G3" s="110"/>
      <c r="H3" s="111"/>
      <c r="I3" s="109"/>
      <c r="J3" s="110"/>
      <c r="K3" s="111"/>
      <c r="L3" s="109"/>
      <c r="M3" s="110"/>
      <c r="N3" s="111"/>
      <c r="O3" s="111"/>
      <c r="P3" s="111"/>
      <c r="Q3" s="112"/>
      <c r="R3" s="113" t="s">
        <v>116</v>
      </c>
    </row>
    <row r="4" s="114" customFormat="true" ht="36" hidden="false" customHeight="true" outlineLevel="0" collapsed="false">
      <c r="A4" s="115" t="s">
        <v>146</v>
      </c>
      <c r="B4" s="116" t="n">
        <f aca="false">COUNTA(A12:A17)</f>
        <v>6</v>
      </c>
      <c r="C4" s="116"/>
      <c r="D4" s="116"/>
      <c r="E4" s="116"/>
      <c r="F4" s="109"/>
      <c r="G4" s="110"/>
      <c r="H4" s="111"/>
      <c r="I4" s="109"/>
      <c r="J4" s="110"/>
      <c r="K4" s="111"/>
      <c r="L4" s="109"/>
      <c r="M4" s="110"/>
      <c r="N4" s="111"/>
      <c r="O4" s="111"/>
      <c r="P4" s="111"/>
      <c r="Q4" s="112"/>
      <c r="R4" s="113" t="s">
        <v>117</v>
      </c>
    </row>
    <row r="5" s="114" customFormat="true" ht="19.5" hidden="false" customHeight="true" outlineLevel="0" collapsed="false">
      <c r="A5" s="117" t="s">
        <v>147</v>
      </c>
      <c r="B5" s="118" t="s">
        <v>115</v>
      </c>
      <c r="C5" s="118" t="s">
        <v>116</v>
      </c>
      <c r="D5" s="118" t="s">
        <v>117</v>
      </c>
      <c r="E5" s="119" t="s">
        <v>118</v>
      </c>
      <c r="F5" s="120"/>
      <c r="G5" s="120"/>
      <c r="H5" s="121"/>
      <c r="I5" s="120"/>
      <c r="J5" s="120"/>
      <c r="K5" s="121"/>
      <c r="L5" s="120"/>
      <c r="M5" s="120"/>
      <c r="N5" s="121"/>
      <c r="O5" s="121"/>
      <c r="P5" s="121"/>
      <c r="Q5" s="122"/>
      <c r="R5" s="113" t="s">
        <v>148</v>
      </c>
    </row>
    <row r="6" s="114" customFormat="true" ht="15" hidden="false" customHeight="true" outlineLevel="0" collapsed="false">
      <c r="A6" s="117" t="s">
        <v>149</v>
      </c>
      <c r="B6" s="123" t="n">
        <f aca="false">COUNTIF($F$12:$F$17,"Passed")</f>
        <v>0</v>
      </c>
      <c r="C6" s="123" t="n">
        <f aca="false">COUNTIF($F$12:$F$17,"Failed")</f>
        <v>0</v>
      </c>
      <c r="D6" s="123" t="n">
        <f aca="false">COUNTIF($F$12:$F$17,"Pending")</f>
        <v>6</v>
      </c>
      <c r="E6" s="124" t="n">
        <f aca="false">COUNTIF($F$12:$F$17,"Blocked")</f>
        <v>0</v>
      </c>
      <c r="F6" s="125"/>
      <c r="G6" s="125"/>
      <c r="H6" s="121"/>
      <c r="I6" s="125"/>
      <c r="J6" s="125"/>
      <c r="K6" s="121"/>
      <c r="L6" s="125"/>
      <c r="M6" s="125"/>
      <c r="N6" s="121"/>
      <c r="O6" s="121"/>
      <c r="P6" s="121"/>
      <c r="Q6" s="122"/>
    </row>
    <row r="7" s="114" customFormat="true" ht="15" hidden="false" customHeight="true" outlineLevel="0" collapsed="false">
      <c r="A7" s="117" t="s">
        <v>150</v>
      </c>
      <c r="B7" s="123" t="n">
        <f aca="false">COUNTIF($F10:$F996,B5)</f>
        <v>0</v>
      </c>
      <c r="C7" s="123" t="n">
        <f aca="false">COUNTIF($F10:$F996,C5)</f>
        <v>0</v>
      </c>
      <c r="D7" s="123" t="n">
        <f aca="false">COUNTIF($F10:$F996,D5)</f>
        <v>6</v>
      </c>
      <c r="E7" s="124" t="n">
        <f aca="false">COUNTIF($F10:$F996,E5)</f>
        <v>0</v>
      </c>
      <c r="F7" s="125"/>
      <c r="G7" s="125"/>
      <c r="H7" s="121"/>
      <c r="I7" s="125"/>
      <c r="J7" s="125"/>
      <c r="K7" s="121"/>
      <c r="L7" s="125"/>
      <c r="M7" s="125"/>
      <c r="N7" s="121"/>
      <c r="O7" s="121"/>
      <c r="P7" s="121"/>
      <c r="Q7" s="122"/>
    </row>
    <row r="8" s="114" customFormat="true" ht="15" hidden="false" customHeight="true" outlineLevel="0" collapsed="false">
      <c r="A8" s="126" t="s">
        <v>151</v>
      </c>
      <c r="B8" s="127" t="n">
        <f aca="false">COUNTIF($F10:$F996,B5)</f>
        <v>0</v>
      </c>
      <c r="C8" s="127" t="n">
        <f aca="false">COUNTIF($F10:$F996,C5)</f>
        <v>0</v>
      </c>
      <c r="D8" s="127" t="n">
        <f aca="false">COUNTIF($F10:$F996,D5)</f>
        <v>6</v>
      </c>
      <c r="E8" s="128" t="n">
        <f aca="false">COUNTIF($F10:$F996,E5)</f>
        <v>0</v>
      </c>
      <c r="F8" s="125"/>
      <c r="G8" s="125"/>
      <c r="H8" s="121"/>
      <c r="I8" s="125"/>
      <c r="J8" s="125"/>
      <c r="K8" s="121"/>
      <c r="L8" s="125"/>
      <c r="M8" s="125"/>
      <c r="N8" s="121"/>
      <c r="O8" s="121"/>
      <c r="P8" s="121"/>
      <c r="Q8" s="122"/>
    </row>
    <row r="9" s="114" customFormat="true" ht="15" hidden="false" customHeight="true" outlineLevel="0" collapsed="false">
      <c r="A9" s="121"/>
      <c r="B9" s="121"/>
      <c r="C9" s="121"/>
      <c r="D9" s="121"/>
      <c r="E9" s="121"/>
      <c r="F9" s="100"/>
      <c r="G9" s="121"/>
      <c r="H9" s="121"/>
      <c r="I9" s="100"/>
      <c r="J9" s="121"/>
      <c r="K9" s="121"/>
      <c r="L9" s="100"/>
      <c r="M9" s="121"/>
      <c r="N9" s="121"/>
      <c r="O9" s="121"/>
      <c r="P9" s="121"/>
      <c r="Q9" s="122"/>
    </row>
    <row r="10" s="114" customFormat="true" ht="42" hidden="false" customHeight="true" outlineLevel="0" collapsed="false">
      <c r="A10" s="129" t="s">
        <v>152</v>
      </c>
      <c r="B10" s="129" t="s">
        <v>153</v>
      </c>
      <c r="C10" s="129" t="s">
        <v>154</v>
      </c>
      <c r="D10" s="129" t="s">
        <v>155</v>
      </c>
      <c r="E10" s="129" t="s">
        <v>156</v>
      </c>
      <c r="F10" s="129" t="s">
        <v>149</v>
      </c>
      <c r="G10" s="129" t="s">
        <v>157</v>
      </c>
      <c r="H10" s="129" t="s">
        <v>158</v>
      </c>
      <c r="I10" s="129" t="s">
        <v>150</v>
      </c>
      <c r="J10" s="129" t="s">
        <v>157</v>
      </c>
      <c r="K10" s="129" t="s">
        <v>158</v>
      </c>
      <c r="L10" s="129" t="s">
        <v>151</v>
      </c>
      <c r="M10" s="129" t="s">
        <v>157</v>
      </c>
      <c r="N10" s="129" t="s">
        <v>158</v>
      </c>
      <c r="O10" s="129" t="s">
        <v>159</v>
      </c>
      <c r="Q10" s="130"/>
    </row>
    <row r="11" s="114" customFormat="true" ht="15.75" hidden="false" customHeight="true" outlineLevel="0" collapsed="false">
      <c r="A11" s="131" t="s">
        <v>160</v>
      </c>
      <c r="B11" s="132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Q11" s="135"/>
    </row>
    <row r="12" s="139" customFormat="true" ht="109.5" hidden="false" customHeight="true" outlineLevel="1" collapsed="false">
      <c r="A12" s="136" t="s">
        <v>276</v>
      </c>
      <c r="B12" s="137" t="s">
        <v>277</v>
      </c>
      <c r="C12" s="137" t="s">
        <v>278</v>
      </c>
      <c r="D12" s="46" t="s">
        <v>279</v>
      </c>
      <c r="E12" s="46" t="s">
        <v>94</v>
      </c>
      <c r="F12" s="136" t="s">
        <v>117</v>
      </c>
      <c r="G12" s="136"/>
      <c r="H12" s="136"/>
      <c r="I12" s="116" t="s">
        <v>148</v>
      </c>
      <c r="J12" s="116"/>
      <c r="K12" s="116"/>
      <c r="L12" s="116" t="s">
        <v>148</v>
      </c>
      <c r="M12" s="116"/>
      <c r="N12" s="116"/>
      <c r="O12" s="138" t="s">
        <v>280</v>
      </c>
      <c r="Q12" s="140"/>
    </row>
    <row r="13" customFormat="false" ht="109.5" hidden="false" customHeight="true" outlineLevel="1" collapsed="false">
      <c r="A13" s="136" t="s">
        <v>281</v>
      </c>
      <c r="B13" s="116" t="s">
        <v>282</v>
      </c>
      <c r="C13" s="116" t="s">
        <v>283</v>
      </c>
      <c r="D13" s="141" t="s">
        <v>284</v>
      </c>
      <c r="E13" s="141" t="s">
        <v>97</v>
      </c>
      <c r="F13" s="136" t="s">
        <v>117</v>
      </c>
      <c r="G13" s="136"/>
      <c r="H13" s="136"/>
      <c r="I13" s="116" t="s">
        <v>148</v>
      </c>
      <c r="J13" s="116"/>
      <c r="K13" s="116"/>
      <c r="L13" s="116" t="s">
        <v>148</v>
      </c>
      <c r="M13" s="116"/>
      <c r="N13" s="116"/>
      <c r="O13" s="138" t="s">
        <v>285</v>
      </c>
      <c r="Q13" s="140"/>
    </row>
    <row r="14" customFormat="false" ht="109.5" hidden="false" customHeight="true" outlineLevel="1" collapsed="false">
      <c r="A14" s="136" t="s">
        <v>286</v>
      </c>
      <c r="B14" s="116" t="s">
        <v>242</v>
      </c>
      <c r="C14" s="116" t="s">
        <v>287</v>
      </c>
      <c r="D14" s="141" t="s">
        <v>288</v>
      </c>
      <c r="E14" s="141" t="s">
        <v>100</v>
      </c>
      <c r="F14" s="136" t="s">
        <v>117</v>
      </c>
      <c r="G14" s="136"/>
      <c r="H14" s="136"/>
      <c r="I14" s="116" t="s">
        <v>148</v>
      </c>
      <c r="J14" s="116"/>
      <c r="K14" s="116"/>
      <c r="L14" s="116" t="s">
        <v>148</v>
      </c>
      <c r="M14" s="116"/>
      <c r="N14" s="116"/>
      <c r="O14" s="138" t="s">
        <v>289</v>
      </c>
      <c r="Q14" s="140"/>
    </row>
    <row r="15" s="114" customFormat="true" ht="109.5" hidden="false" customHeight="true" outlineLevel="0" collapsed="false">
      <c r="A15" s="142" t="s">
        <v>290</v>
      </c>
      <c r="B15" s="143" t="s">
        <v>291</v>
      </c>
      <c r="C15" s="144" t="s">
        <v>292</v>
      </c>
      <c r="D15" s="144" t="s">
        <v>293</v>
      </c>
      <c r="E15" s="144" t="s">
        <v>103</v>
      </c>
      <c r="F15" s="145" t="s">
        <v>117</v>
      </c>
      <c r="G15" s="145"/>
      <c r="H15" s="145"/>
      <c r="I15" s="144" t="s">
        <v>148</v>
      </c>
      <c r="J15" s="144"/>
      <c r="K15" s="144"/>
      <c r="L15" s="144" t="s">
        <v>148</v>
      </c>
      <c r="M15" s="144"/>
      <c r="N15" s="144"/>
      <c r="O15" s="146" t="s">
        <v>294</v>
      </c>
      <c r="Q15" s="135"/>
    </row>
    <row r="16" customFormat="false" ht="109.5" hidden="false" customHeight="true" outlineLevel="1" collapsed="false">
      <c r="A16" s="136" t="s">
        <v>295</v>
      </c>
      <c r="B16" s="116" t="s">
        <v>296</v>
      </c>
      <c r="C16" s="116" t="s">
        <v>297</v>
      </c>
      <c r="D16" s="116" t="s">
        <v>298</v>
      </c>
      <c r="E16" s="116" t="s">
        <v>106</v>
      </c>
      <c r="F16" s="136" t="s">
        <v>117</v>
      </c>
      <c r="G16" s="136"/>
      <c r="H16" s="136"/>
      <c r="I16" s="116" t="s">
        <v>148</v>
      </c>
      <c r="J16" s="116"/>
      <c r="K16" s="116"/>
      <c r="L16" s="116" t="s">
        <v>148</v>
      </c>
      <c r="M16" s="116"/>
      <c r="N16" s="116"/>
      <c r="O16" s="138" t="s">
        <v>299</v>
      </c>
      <c r="Q16" s="140"/>
    </row>
    <row r="17" customFormat="false" ht="109.5" hidden="false" customHeight="true" outlineLevel="1" collapsed="false">
      <c r="A17" s="136" t="s">
        <v>300</v>
      </c>
      <c r="B17" s="116" t="s">
        <v>301</v>
      </c>
      <c r="C17" s="116" t="s">
        <v>302</v>
      </c>
      <c r="D17" s="116" t="s">
        <v>303</v>
      </c>
      <c r="E17" s="116" t="s">
        <v>109</v>
      </c>
      <c r="F17" s="136" t="s">
        <v>117</v>
      </c>
      <c r="G17" s="147"/>
      <c r="H17" s="147"/>
      <c r="I17" s="116" t="s">
        <v>148</v>
      </c>
      <c r="J17" s="138"/>
      <c r="K17" s="138"/>
      <c r="L17" s="116" t="s">
        <v>148</v>
      </c>
      <c r="M17" s="138"/>
      <c r="N17" s="138"/>
      <c r="O17" s="138" t="s">
        <v>304</v>
      </c>
      <c r="Q17" s="148"/>
    </row>
    <row r="18" customFormat="false" ht="109.5" hidden="false" customHeight="true" outlineLevel="0" collapsed="false">
      <c r="A18" s="50"/>
    </row>
    <row r="19" customFormat="false" ht="109.5" hidden="false" customHeight="true" outlineLevel="0" collapsed="false"/>
    <row r="20" customFormat="false" ht="109.5" hidden="false" customHeight="true" outlineLevel="0" collapsed="false"/>
    <row r="21" customFormat="false" ht="109.5" hidden="false" customHeight="true" outlineLevel="0" collapsed="false"/>
    <row r="22" customFormat="false" ht="109.5" hidden="false" customHeight="true" outlineLevel="0" collapsed="false"/>
    <row r="23" customFormat="false" ht="109.5" hidden="false" customHeight="true" outlineLevel="0" collapsed="false"/>
    <row r="24" customFormat="false" ht="109.5" hidden="false" customHeight="true" outlineLevel="0" collapsed="false"/>
    <row r="25" customFormat="false" ht="109.5" hidden="false" customHeight="true" outlineLevel="0" collapsed="false"/>
    <row r="26" customFormat="false" ht="109.5" hidden="false" customHeight="true" outlineLevel="0" collapsed="false"/>
  </sheetData>
  <mergeCells count="3">
    <mergeCell ref="B2:E2"/>
    <mergeCell ref="B3:E3"/>
    <mergeCell ref="B4:E4"/>
  </mergeCells>
  <dataValidations count="2">
    <dataValidation allowBlank="true" errorStyle="stop" operator="between" showDropDown="false" showErrorMessage="true" showInputMessage="false" sqref="F10 I10 L10" type="none">
      <formula1>0</formula1>
      <formula2>0</formula2>
    </dataValidation>
    <dataValidation allowBlank="true" errorStyle="stop" operator="between" showDropDown="false" showErrorMessage="true" showInputMessage="false" sqref="G2:G3 J2:J3 M2:M3 G9 J9 M9 F12:F17 I12:I17 L12:L17 G18:G145 J18:J145 M18:M145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fitToWidth="2" fitToHeight="0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ns1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BM</cp:category>
  <dcterms:created xsi:type="dcterms:W3CDTF">2020-03-17T17:34:29Z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cp:lastPrinted>2024-05-06T01:11:17Z</cp:lastPrinted>
  <dcterms:modified xsi:type="dcterms:W3CDTF">2026-07-24T16:11:05Z</dcterms:modified>
  <cp:revision>0</cp:revision>
  <dc:subject>v1/0</dc:subject>
  <dc:title>IDTS SAP490 Test Report EN v0.4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