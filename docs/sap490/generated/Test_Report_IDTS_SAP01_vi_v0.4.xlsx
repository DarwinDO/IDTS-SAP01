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ns1="http://schemas.openxmlformats.org/officeDocument/2006/relationships" xmlns:ns2="http://schemas.libreoffice.org/">
  <fileVersion appName="Calc"/>
  <workbookPr backupFile="false" showObjects="all" date1904="false"/>
  <workbookProtection/>
  <bookViews>
    <workbookView showHorizontalScroll="true" showVerticalScroll="true" showSheetTabs="true" xWindow="0" yWindow="0" windowWidth="16384" windowHeight="8192" tabRatio="821" firstSheet="0" activeTab="3"/>
  </bookViews>
  <sheets>
    <sheet name="Cover" sheetId="1" state="visible" ns1:id="rId3"/>
    <sheet name="Test Cases" sheetId="2" state="visible" ns1:id="rId4"/>
    <sheet name="Test Statistics" sheetId="3" state="visible" ns1:id="rId5"/>
    <sheet name="Feature 1" sheetId="4" state="visible" ns1:id="rId6"/>
    <sheet name="Feature 2" sheetId="5" state="visible" ns1:id="rId7"/>
  </sheets>
  <definedNames>
    <definedName function="false" hidden="false" localSheetId="0" name="_xlnm.Print_Area" vbProcedure="false">Cover!$A$1:$F$17</definedName>
    <definedName function="false" hidden="false" localSheetId="3" name="_xlnm.Print_Area" vbProcedure="false">'Feature 1'!$A$1:$O$32</definedName>
    <definedName function="false" hidden="false" localSheetId="3" name="_xlnm.Print_Titles" vbProcedure="false">'Feature 1'!$1:$10</definedName>
    <definedName function="false" hidden="false" localSheetId="4" name="_xlnm.Print_Area" vbProcedure="false">'Feature 2'!$A$1:$O$26</definedName>
    <definedName function="false" hidden="false" localSheetId="4" name="_xlnm.Print_Titles" vbProcedure="false">'Feature 2'!$1:$10</definedName>
    <definedName function="false" hidden="false" localSheetId="1" name="_xlnm.Print_Area" vbProcedure="false">'Test Cases'!$B$1:$F$35</definedName>
    <definedName function="false" hidden="false" localSheetId="1" name="_xlnm.Print_Titles" vbProcedure="false">'Test Cases'!$1:$8</definedName>
    <definedName function="false" hidden="false" localSheetId="2" name="_xlnm.Print_Area" vbProcedure="false">'Test Statistics'!$B$1:$H$29</definedName>
    <definedName function="false" hidden="false" localSheetId="2" name="_xlnm.Print_Titles" vbProcedure="false">'Test Statistics'!$1:$10</definedName>
  </definedNames>
  <calcPr iterateCount="100" refMode="A1" iterate="false" iterateDelta="0.0001"/>
  <extLst>
    <ext uri="{7626C862-2A13-11E5-B345-FEFF819CDC9F}">
      <ns2: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D10" authorId="0">
      <text>
        <r>
          <rPr>
            <sz val="10"/>
            <rFont val="Arial"/>
            <family val="2"/>
          </rPr>
          <t xml:space="preserve">*A: Add
  M: Modify
  D: Delete
</t>
        </r>
      </text>
      <mc:AlternateContent>
        <mc:Choice Requires="v2">
          <commentPr autoFill="true" autoScale="false" colHidden="false" locked="false" rowHidden="false" textHAlign="justify" textVAlign="top">
            <anchor moveWithCells="false" sizeWithCells="false">
              <xdr:from>
                <xdr:col>0</xdr:col>
                <xdr:colOff>79</xdr:colOff>
                <xdr:row>0</xdr:row>
                <xdr:rowOff>14</xdr:rowOff>
              </xdr:from>
              <xdr:to>
                <xdr:col>2</xdr:col>
                <xdr:colOff>8</xdr:colOff>
                <xdr:row>1</xdr:row>
                <xdr:rowOff>76</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tqsang</author>
  </authors>
  <commentList>
    <comment ref="E10" authorId="0">
      <text>
        <r>
          <rPr>
            <sz val="10"/>
            <rFont val="Arial"/>
            <family val="2"/>
          </rPr>
          <t xml:space="preserve">List all test cases (must run before this case), conditions that must be done, or required state that the system should be in before performing this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79</xdr:colOff>
                <xdr:row>1</xdr:row>
                <xdr:rowOff>33</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tqsang</author>
  </authors>
  <commentList>
    <comment ref="E10" authorId="0">
      <text>
        <r>
          <rPr>
            <sz val="10"/>
            <rFont val="Arial"/>
            <family val="2"/>
          </rPr>
          <t xml:space="preserve">List all test cases (must run before this case), conditions that must be done, or required state that the system should be in before performing this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79</xdr:colOff>
                <xdr:row>1</xdr:row>
                <xdr:rowOff>33</xdr:rowOff>
              </xdr:to>
            </anchor>
          </commentPr>
        </mc:Choice>
        <mc:Fallback/>
      </mc:AlternateContent>
    </comment>
  </commentList>
</comments>
</file>

<file path=xl/sharedStrings.xml><?xml version="1.0" encoding="utf-8"?>
<sst xmlns="http://schemas.openxmlformats.org/spreadsheetml/2006/main" count="543" uniqueCount="305">
  <si>
    <t xml:space="preserve">TÀI LIỆU BÁO CÁO KIỂM THỬ</t>
  </si>
  <si>
    <t xml:space="preserve">Tên dự án</t>
  </si>
  <si>
    <t xml:space="preserve">Issue and Defect Tracking System in SAP</t>
  </si>
  <si>
    <t xml:space="preserve">Người tạo</t>
  </si>
  <si>
    <t xml:space="preserve">DonHV</t>
  </si>
  <si>
    <t xml:space="preserve">Mã dự án</t>
  </si>
  <si>
    <t xml:space="preserve">IDTS-SAP01</t>
  </si>
  <si>
    <t xml:space="preserve">Ngày phát hành</t>
  </si>
  <si>
    <t xml:space="preserve">Mã tài liệu</t>
  </si>
  <si>
    <t xml:space="preserve">IDTS-SAP01_Test Report_v0.4</t>
  </si>
  <si>
    <t xml:space="preserve">Phiên bản</t>
  </si>
  <si>
    <t xml:space="preserve">0.4</t>
  </si>
  <si>
    <t xml:space="preserve">Lịch sử thay đổi</t>
  </si>
  <si>
    <t xml:space="preserve">Ngày hiệu lực</t>
  </si>
  <si>
    <t xml:space="preserve">Hạng mục thay đổi</t>
  </si>
  <si>
    <t xml:space="preserve">*A,D,M</t>
  </si>
  <si>
    <t xml:space="preserve">Mô tả thay đổi</t>
  </si>
  <si>
    <t xml:space="preserve">Tham chiếu</t>
  </si>
  <si>
    <t xml:space="preserve">Toàn bộ test pack SAP490</t>
  </si>
  <si>
    <t xml:space="preserve">M</t>
  </si>
  <si>
    <t xml:space="preserve">Đối soát từ case chuẩn và lệnh npm chính xác; Pending/Prepared không phải Passed.</t>
  </si>
  <si>
    <t xml:space="preserve">docs/qa/test-catalog.json</t>
  </si>
  <si>
    <t xml:space="preserve">DANH SÁCH CA KIỂM THỬ</t>
  </si>
  <si>
    <t xml:space="preserve">Mô tả thiết lập môi trường test</t>
  </si>
  <si>
    <t xml:space="preserve">Node.js/CAP/SQLite local; role seed; môi trường chính xác ghi theo từng case.</t>
  </si>
  <si>
    <t xml:space="preserve">STT</t>
  </si>
  <si>
    <t xml:space="preserve">Tên chức năng</t>
  </si>
  <si>
    <t xml:space="preserve">Tên trang tính</t>
  </si>
  <si>
    <t xml:space="preserve">Mô tả</t>
  </si>
  <si>
    <t xml:space="preserve">Điều kiện trước</t>
  </si>
  <si>
    <t xml:space="preserve">UT-AI-001 — Cấu hình AI mặc định bị tắt</t>
  </si>
  <si>
    <t xml:space="preserve">Feature 1</t>
  </si>
  <si>
    <t xml:space="preserve">SRS-FR-AI-003
UNIT / PASSED</t>
  </si>
  <si>
    <t xml:space="preserve">Không có cấu hình AI riêng tư.</t>
  </si>
  <si>
    <t xml:space="preserve">UT-AI-002 — Mapping mock chat và structured response</t>
  </si>
  <si>
    <t xml:space="preserve">Mock mode được bật.</t>
  </si>
  <si>
    <t xml:space="preserve">UT-AI-003 — Mapping model và số chiều embedding</t>
  </si>
  <si>
    <t xml:space="preserve">Đã cấu hình số chiều mock embedding.</t>
  </si>
  <si>
    <t xml:space="preserve">UT-AI-004 — Provider error và timeout được sanitize</t>
  </si>
  <si>
    <t xml:space="preserve">SRS-FR-AI-002, SRS-FR-AI-003
UNIT / PASSED</t>
  </si>
  <si>
    <t xml:space="preserve">Có mode provider error và timeout được kiểm soát.</t>
  </si>
  <si>
    <t xml:space="preserve">UT-AI-005 — Secret redactor che các key đại diện</t>
  </si>
  <si>
    <t xml:space="preserve">Redactor đã được load.</t>
  </si>
  <si>
    <t xml:space="preserve">FT-CREATE-001 — Tạo bug hợp lệ qua service</t>
  </si>
  <si>
    <t xml:space="preserve">SRS-FR-BUG-001, SRS-FR-CLASS-003
FUNCTIONAL_API / PASSED</t>
  </si>
  <si>
    <t xml:space="preserve">Tester đã đăng nhập; có priority, severity và environment active.</t>
  </si>
  <si>
    <t xml:space="preserve">FT-VALID-001 — Từ chối catalog sai, rỗng và inactive</t>
  </si>
  <si>
    <t xml:space="preserve">SRS-FR-BUG-002, SRS-FR-CLASS-003, SRS-FR-STATUS-008
FUNCTIONAL_API / PASSED</t>
  </si>
  <si>
    <t xml:space="preserve">Tester đã đăng nhập; có reference value hợp lệ và inactive.</t>
  </si>
  <si>
    <t xml:space="preserve">FT-AUTHZ-001 — Chỉ Tester hoặc PM được bắt đầu bug draft</t>
  </si>
  <si>
    <t xml:space="preserve">SRS-FR-AUTH-002, SRS-FR-BUG-001
FUNCTIONAL_API / PASSED</t>
  </si>
  <si>
    <t xml:space="preserve">Có user seed cho cả ba role.</t>
  </si>
  <si>
    <t xml:space="preserve">FT-AUTH-SESSION-001 — Ranh giới xác thực, bearer session và đăng xuất</t>
  </si>
  <si>
    <t xml:space="preserve">SRS-FR-AUTH-001, SRS-FR-AUTH-002
PROGRAMMATIC_REGRESSION / PASSED</t>
  </si>
  <si>
    <t xml:space="preserve">CAP local có identity seed; không dùng identity provider production.</t>
  </si>
  <si>
    <t xml:space="preserve">FT-DUP-001 — Hỗ trợ kiểm tra trùng trước khi tạo</t>
  </si>
  <si>
    <t xml:space="preserve">SRS-FR-BUG-003
FUNCTIONAL_UI_API / PASSED</t>
  </si>
  <si>
    <t xml:space="preserve">Tester đã đăng nhập; có ít nhất một bug tương tự và một bug không liên quan.</t>
  </si>
  <si>
    <t xml:space="preserve">FT-CLASS-ASSIGN-001 — Phân loại và assign theo responsibility active</t>
  </si>
  <si>
    <t xml:space="preserve">SRS-FR-CLASS-001, SRS-FR-CLASS-004, SRS-FR-ASSIGN-001
FUNCTIONAL_UI_API / PASSED</t>
  </si>
  <si>
    <t xml:space="preserve">Có classification pair và Developer Responsibility active.</t>
  </si>
  <si>
    <t xml:space="preserve">FT-PENDING-001 — Tạo bug không có assignee</t>
  </si>
  <si>
    <t xml:space="preserve">SRS-FR-ASSIGN-003, SRS-FR-STATUS-009
FUNCTIONAL_UI_API / PASSED</t>
  </si>
  <si>
    <t xml:space="preserve">Tester đã đăng nhập và mọi field bắt buộc hợp lệ.</t>
  </si>
  <si>
    <t xml:space="preserve">FT-REASSIGN-001 — Reassign có history</t>
  </si>
  <si>
    <t xml:space="preserve">SRS-FR-ASSIGN-004, SRS-FR-AUDIT-001
FUNCTIONAL_UI_API / PASSED</t>
  </si>
  <si>
    <t xml:space="preserve">Có bug đã assign và Developer phù hợp thứ hai.</t>
  </si>
  <si>
    <t xml:space="preserve">FT-DEV-INFO-001 — Developer review và Request More Information</t>
  </si>
  <si>
    <t xml:space="preserve">SRS-FR-STATUS-001, SRS-FR-STATUS-002, SRS-FR-STATUS-009
FUNCTIONAL_UI_API / PASSED</t>
  </si>
  <si>
    <t xml:space="preserve">Bug đã assign; có account Developer được assign và không được assign.</t>
  </si>
  <si>
    <t xml:space="preserve">FT-REJECT-001 — Reject, sửa và reassign</t>
  </si>
  <si>
    <t xml:space="preserve">SRS-FR-STATUS-003, SRS-FR-STATUS-004, SRS-FR-STATUS-009
FUNCTIONAL_UI_API / PASSED</t>
  </si>
  <si>
    <t xml:space="preserve">Bug đã assign nhưng classification hoặc owner không phù hợp.</t>
  </si>
  <si>
    <t xml:space="preserve">FT-LIFECYCLE-001 — Resolve, retest, close và reopen</t>
  </si>
  <si>
    <t xml:space="preserve">SRS-FR-STATUS-005, SRS-FR-STATUS-006, SRS-FR-STATUS-007, SRS-FR-STATUS-008
FUNCTIONAL_UI_API / PASSED</t>
  </si>
  <si>
    <t xml:space="preserve">Bug đang In Progress và tái hiện được.</t>
  </si>
  <si>
    <t xml:space="preserve">FT-COMMENT-001 — Thêm comment và giữ lại sau reconnect</t>
  </si>
  <si>
    <t xml:space="preserve">SRS-FR-COMMENT-001, SRS-FR-COMMENT-002
FUNCTIONAL_API / PASSED</t>
  </si>
  <si>
    <t xml:space="preserve">Có bug và test database dạng file.</t>
  </si>
  <si>
    <t xml:space="preserve">FT-ATTACH-001 — Upload, download, reload và xóa attachment</t>
  </si>
  <si>
    <t xml:space="preserve">SRS-DATA-007, SRS-FR-AUDIT-001
FUNCTIONAL_HTTP_UI / PASSED</t>
  </si>
  <si>
    <t xml:space="preserve">Tester đã đăng nhập, có bug và file evidence nhỏ được phép.</t>
  </si>
  <si>
    <t xml:space="preserve">FT-NOTIF-001 — Notification outbox success, failure, retry và rollback isolation</t>
  </si>
  <si>
    <t xml:space="preserve">SRS-FR-NOTIF-001, SRS-FR-NOTIF-002, SRS-FR-DELIVERY-001
FUNCTIONAL_INTEGRATION / PASSED</t>
  </si>
  <si>
    <t xml:space="preserve">Có bug và recipient seed; fake transport có kiểm soát.</t>
  </si>
  <si>
    <t xml:space="preserve">FT-PM-001 — Flag, queue và current action owner cho PM</t>
  </si>
  <si>
    <t xml:space="preserve">SRS-FR-PM-001, SRS-FR-PM-002, SRS-FR-PM-003, SRS-FR-STATUS-009
FUNCTIONAL_API / PASSED</t>
  </si>
  <si>
    <t xml:space="preserve">Có bug seed open, closed, pending và rejected.</t>
  </si>
  <si>
    <t xml:space="preserve">FT-AI-REVIEW-001 — Con người review AI suggestion mà không tự động mutation</t>
  </si>
  <si>
    <t xml:space="preserve">SRS-FR-AI-002, SRS-FR-AI-003
FUNCTIONAL_UI_API / PASSED</t>
  </si>
  <si>
    <t xml:space="preserve">User đã đăng nhập; có mode AI disabled và suggestion có kiểm soát.</t>
  </si>
  <si>
    <t xml:space="preserve">UAT-001 — Tạo và phân loại bug</t>
  </si>
  <si>
    <t xml:space="preserve">Feature 2</t>
  </si>
  <si>
    <t xml:space="preserve">SRS-FR-BUG-001, SRS-FR-BUG-002, SRS-FR-CLASS-003, SRS-FR-ASSIGN-003
UAT / PREPARED</t>
  </si>
  <si>
    <t xml:space="preserve">Mentor/user có account Tester và test data sạch.</t>
  </si>
  <si>
    <t xml:space="preserve">UAT-002 — Developer review, request information và rejection</t>
  </si>
  <si>
    <t xml:space="preserve">SRS-FR-STATUS-001, SRS-FR-STATUS-002, SRS-FR-STATUS-003, SRS-FR-STATUS-004
UAT / PREPARED</t>
  </si>
  <si>
    <t xml:space="preserve">Một bug assign phù hợp và một bug không phù hợp.</t>
  </si>
  <si>
    <t xml:space="preserve">UAT-003 — Resolve, retest, close và reopen</t>
  </si>
  <si>
    <t xml:space="preserve">SRS-FR-STATUS-005, SRS-FR-STATUS-006, SRS-FR-STATUS-007
UAT / PREPARED</t>
  </si>
  <si>
    <t xml:space="preserve">Hai bug đang In Progress.</t>
  </si>
  <si>
    <t xml:space="preserve">UAT-004 — Comment và attachment evidence</t>
  </si>
  <si>
    <t xml:space="preserve">SRS-FR-COMMENT-001, SRS-DATA-007, SRS-FR-AUDIT-001
UAT / PREPARED</t>
  </si>
  <si>
    <t xml:space="preserve">Có bug và file nhỏ hợp lệ.</t>
  </si>
  <si>
    <t xml:space="preserve">UAT-005 — PM monitoring và action ownership</t>
  </si>
  <si>
    <t xml:space="preserve">SRS-FR-PM-001, SRS-FR-PM-002, SRS-FR-PM-003
UAT / PREPARED</t>
  </si>
  <si>
    <t xml:space="preserve">Có bug đại diện cho từng state cần monitor.</t>
  </si>
  <si>
    <t xml:space="preserve">UAT-006 — AI advisory và fallback an toàn</t>
  </si>
  <si>
    <t xml:space="preserve">SRS-FR-AI-002, SRS-FR-AI-003
UAT / PREPARED</t>
  </si>
  <si>
    <t xml:space="preserve">Có mode suggestion và disabled/failure được kiểm soát.</t>
  </si>
  <si>
    <t xml:space="preserve">THỐNG KÊ KIỂM THỬ</t>
  </si>
  <si>
    <t xml:space="preserve">Mentor / Giảng viên</t>
  </si>
  <si>
    <t xml:space="preserve">Ghi chú</t>
  </si>
  <si>
    <t xml:space="preserve">27 kế hoạch; 21 đã chạy; 21 đạt; 0 không đạt; 0 bị chặn; 6 Chưa chạy/Prepared. Pending không phải Passed.</t>
  </si>
  <si>
    <t xml:space="preserve">Mã phân hệ</t>
  </si>
  <si>
    <t xml:space="preserve">Passed</t>
  </si>
  <si>
    <t xml:space="preserve">Failed</t>
  </si>
  <si>
    <t xml:space="preserve">Pending</t>
  </si>
  <si>
    <t xml:space="preserve">Bị chặn</t>
  </si>
  <si>
    <t xml:space="preserve">Số ca kiểm thử</t>
  </si>
  <si>
    <t xml:space="preserve">Xác minh unit/API/integration đã chạy</t>
  </si>
  <si>
    <t xml:space="preserve">Chuẩn bị functional manual và UAT</t>
  </si>
  <si>
    <t xml:space="preserve">Tổng phụ</t>
  </si>
  <si>
    <t xml:space="preserve">Tỷ lệ thực thi case</t>
  </si>
  <si>
    <t xml:space="preserve">Tỷ lệ đạt trên case đã chạy</t>
  </si>
  <si>
    <t xml:space="preserve">Metric</t>
  </si>
  <si>
    <t xml:space="preserve">Giá trị</t>
  </si>
  <si>
    <t xml:space="preserve">Cách tính / phạm vi</t>
  </si>
  <si>
    <t xml:space="preserve">Case kế hoạch</t>
  </si>
  <si>
    <t xml:space="preserve">27 canonical cases</t>
  </si>
  <si>
    <t xml:space="preserve">Case đã thực thi</t>
  </si>
  <si>
    <t xml:space="preserve">21 Passed + 0 Failed</t>
  </si>
  <si>
    <t xml:space="preserve">Đạt</t>
  </si>
  <si>
    <t xml:space="preserve">Fresh evidence and required execution metadata</t>
  </si>
  <si>
    <t xml:space="preserve">Không đạt</t>
  </si>
  <si>
    <t xml:space="preserve">Executed failed outcomes</t>
  </si>
  <si>
    <t xml:space="preserve">Execution blockers</t>
  </si>
  <si>
    <t xml:space="preserve">Chưa chạy / Đang chờ</t>
  </si>
  <si>
    <t xml:space="preserve">0 NOT_RUN + 6 PREPARED</t>
  </si>
  <si>
    <t xml:space="preserve">Truy vết requirement theo kế hoạch</t>
  </si>
  <si>
    <t xml:space="preserve">32 / 32</t>
  </si>
  <si>
    <t xml:space="preserve">Coverage requirement đã thực thi</t>
  </si>
  <si>
    <t xml:space="preserve">Số assertion/check tự động</t>
  </si>
  <si>
    <t xml:space="preserve">Fresh suite-reported checks; skipped checks are not Pass</t>
  </si>
  <si>
    <t xml:space="preserve">Số defect</t>
  </si>
  <si>
    <t xml:space="preserve">Real tracked defects; no synthetic defect</t>
  </si>
  <si>
    <t xml:space="preserve">Yêu cầu kiểm thử</t>
  </si>
  <si>
    <t xml:space="preserve">Case đã thực thi mới với lệnh chính xác hoặc evidence trực tiếp.</t>
  </si>
  <si>
    <t xml:space="preserve">Vòng kiểm thử</t>
  </si>
  <si>
    <t xml:space="preserve">Blocked</t>
  </si>
  <si>
    <t xml:space="preserve">N/A</t>
  </si>
  <si>
    <t xml:space="preserve">Vòng 1</t>
  </si>
  <si>
    <t xml:space="preserve">Vòng 2</t>
  </si>
  <si>
    <t xml:space="preserve">Vòng 3</t>
  </si>
  <si>
    <t xml:space="preserve">Mã ca kiểm thử</t>
  </si>
  <si>
    <t xml:space="preserve">Mô tả ca kiểm thử</t>
  </si>
  <si>
    <t xml:space="preserve">Quy trình kiểm thử</t>
  </si>
  <si>
    <t xml:space="preserve">Kết quả dự kiến</t>
  </si>
  <si>
    <t xml:space="preserve">Ngày test</t>
  </si>
  <si>
    <t xml:space="preserve">Người thực thi</t>
  </si>
  <si>
    <t xml:space="preserve">Ca kiểm thử</t>
  </si>
  <si>
    <t xml:space="preserve">UT-AI-001</t>
  </si>
  <si>
    <t xml:space="preserve">Cấu hình AI mặc định bị tắt</t>
  </si>
  <si>
    <t xml:space="preserve">Req: SRS-FR-AI-003 | Vai trò: N/A — module test | Dữ liệu: Object cấu hình mặc định. | 1) Load cấu hình AI. | 2) Gọi chat qua wrapper. | 3) Kiểm tra success/status và kết quả đã sanitize.</t>
  </si>
  <si>
    <t xml:space="preserve">enabled=false; kết quả là AI_DISABLED; không exception hoặc diagnostic không an toàn.</t>
  </si>
  <si>
    <t xml:space="preserve">2026-07-23T10:59:19+07:00</t>
  </si>
  <si>
    <t xml:space="preserve">Thực tế: Đạt trong REG-AI-20260723. | Bằng chứng: scripts/qa/test-idts64-ai-provider.js | Defect: None | Giới hạn: Không dùng provider live. | Điều kiện sau: Không đổi business data.</t>
  </si>
  <si>
    <t xml:space="preserve">UT-AI-002</t>
  </si>
  <si>
    <t xml:space="preserve">Mapping mock chat và structured response</t>
  </si>
  <si>
    <t xml:space="preserve">Req: SRS-FR-AI-003 | Vai trò: N/A — module test | Dữ liệu: Text an toàn và schema ClassificationSuggestion. | 1) Cấu hình mock provider. | 2) Gọi chat và structured operation. | 3) So sánh model, text và schema đã map.</t>
  </si>
  <si>
    <t xml:space="preserve">Cả hai operation thành công và secret nguồn bị loại không xuất hiện.</t>
  </si>
  <si>
    <t xml:space="preserve">Thực tế: Đạt trong REG-AI-20260723. | Bằng chứng: scripts/qa/test-idts64-ai-provider.js | Defect: None | Giới hạn: Chỉ dùng mock deterministic. | Điều kiện sau: Không đổi business data.</t>
  </si>
  <si>
    <t xml:space="preserve">UT-AI-003</t>
  </si>
  <si>
    <t xml:space="preserve">Mapping model và số chiều embedding</t>
  </si>
  <si>
    <t xml:space="preserve">Req: SRS-FR-AI-003 | Vai trò: N/A — module test | Dữ liệu: Vector mock sáu chiều. | 1) Cấu hình dimension=6. | 2) Yêu cầu embedding. | 3) So sánh dimension, độ dài vector và model alias.</t>
  </si>
  <si>
    <t xml:space="preserve">Thành công với đúng sáu giá trị và model alias riêng cho embedding.</t>
  </si>
  <si>
    <t xml:space="preserve">Thực tế: Đạt trong REG-AI-20260723. | Bằng chứng: scripts/qa/test-idts64-ai-provider.js | Defect: None | Giới hạn: Vector mock, không đánh giá chất lượng semantic. | Điều kiện sau: Không đổi business data.</t>
  </si>
  <si>
    <t xml:space="preserve">UT-AI-004</t>
  </si>
  <si>
    <t xml:space="preserve">Provider error và timeout được sanitize</t>
  </si>
  <si>
    <t xml:space="preserve">Req: SRS-FR-AI-002, SRS-FR-AI-003 | Vai trò: N/A — module test | Dữ liệu: MOCK_PROVIDER_ERROR và embedding bị delay. | 1) Kích hoạt provider error. | 2) Kích hoạt timeout. | 3) Kiểm tra retryable flag và diagnostic public.</t>
  </si>
  <si>
    <t xml:space="preserve">AI_PROVIDER_ERROR/AI_TIMEOUT an toàn và giữ đúng retryability.</t>
  </si>
  <si>
    <t xml:space="preserve">Thực tế: Đạt trong REG-AI-20260723. | Bằng chứng: scripts/qa/test-idts64-ai-provider.js | Defect: None | Giới hạn: Chỉ là failure có kiểm soát. | Điều kiện sau: Workflow không dùng AI không bị ảnh hưởng.</t>
  </si>
  <si>
    <t xml:space="preserve">UT-AI-005</t>
  </si>
  <si>
    <t xml:space="preserve">Secret redactor che các key đại diện</t>
  </si>
  <si>
    <t xml:space="preserve">Req: SRS-FR-AI-003 | Vai trò: N/A — module test | Dữ liệu: Pattern AWS access key và Brevo API key giả lập. | 1) Truyền chuỗi giả lập có dạng key vào redactor. | 2) Kiểm tra text trả về.</t>
  </si>
  <si>
    <t xml:space="preserve">Cả hai secret đại diện đều được che.</t>
  </si>
  <si>
    <t xml:space="preserve">Thực tế: Đạt trong REG-AI-20260723. | Bằng chứng: scripts/qa/test-idts64-ai-provider.js | Defect: None | Giới hạn: Chỉ pattern đại diện; không chứng minh mọi định dạng secret. | Điều kiện sau: Dữ liệu giả lập được bỏ.</t>
  </si>
  <si>
    <t xml:space="preserve">FT-CREATE-001</t>
  </si>
  <si>
    <t xml:space="preserve">Tạo bug hợp lệ qua service</t>
  </si>
  <si>
    <t xml:space="preserve">Req: SRS-FR-BUG-001, SRS-FR-CLASS-003 | Vai trò: Tester | Dữ liệu: Payload bug đầy đủ đã sanitize với code active. | 1) Gửi create request hợp lệ. | 2) Đọc bug đã tạo theo ID. | 3) Kiểm tra business value bắt buộc.</t>
  </si>
  <si>
    <t xml:space="preserve">Create thành công và bug được persist với giá trị hợp lệ.</t>
  </si>
  <si>
    <t xml:space="preserve">2026-07-23T10:59:07+07:00</t>
  </si>
  <si>
    <t xml:space="preserve">Thực tế: Đạt: mã catalog active hợp lệ đã tạo bug. | Bằng chứng: scripts/qa/test-idts41-code-list-validation.js | Defect: IDTS-32 | Giới hạn: Chưa có evidence Fiori UI/reload mới. | Điều kiện sau: Dữ liệu test chỉ tồn tại trong database in-memory.</t>
  </si>
  <si>
    <t xml:space="preserve">FT-VALID-001</t>
  </si>
  <si>
    <t xml:space="preserve">Từ chối catalog sai, rỗng và inactive</t>
  </si>
  <si>
    <t xml:space="preserve">Req: SRS-FR-BUG-002, SRS-FR-CLASS-003, SRS-FR-STATUS-008 | Vai trò: Tester | Dữ liệu: Code dạng số, sai hoa/thường, whitespace, unknown và inactive. | 1) Gửi từng biến thể create/update/draft sai. | 2) Kiểm tra response 400 và target field. | 3) Reload record sau update bị từ chối.</t>
  </si>
  <si>
    <t xml:space="preserve">Mọi giá trị sai bị từ chối và state hợp lệ đã lưu không đổi.</t>
  </si>
  <si>
    <t xml:space="preserve">Thực tế: Đạt cho các check create, update và draft sai. | Bằng chứng: scripts/qa/test-idts41-code-list-validation.js | Defect: IDTS-32 | Giới hạn: Chưa chạy lại UI value-state. | Điều kiện sau: Input bị từ chối không được persist.</t>
  </si>
  <si>
    <t xml:space="preserve">FT-AUTHZ-001</t>
  </si>
  <si>
    <t xml:space="preserve">Chỉ Tester hoặc PM được bắt đầu bug draft</t>
  </si>
  <si>
    <t xml:space="preserve">Req: SRS-FR-AUTH-002, SRS-FR-BUG-001 | Vai trò: Developer / Tester / PM | Dữ liệu: Root draft NEW request cho từng role. | 1) Gọi root draft NEW bằng Developer. | 2) Lặp lại bằng Tester. | 3) Lặp lại bằng PM.</t>
  </si>
  <si>
    <t xml:space="preserve">Developer nhận 403; Tester và PM được phép.</t>
  </si>
  <si>
    <t xml:space="preserve">Thực tế: Đạt cho cả ba role. | Bằng chứng: scripts/qa/test-idts41-code-list-validation.js | Defect: IDTS-41 | Giới hạn: Chưa check button visibility bằng browser mới. | Điều kiện sau: Draft không được phép không tồn tại.</t>
  </si>
  <si>
    <t xml:space="preserve">FT-AUTH-SESSION-001</t>
  </si>
  <si>
    <t xml:space="preserve">Ranh giới xác thực, bearer session và đăng xuất</t>
  </si>
  <si>
    <t xml:space="preserve">Req: SRS-FR-AUTH-001, SRS-FR-AUTH-002 | Vai trò: Anonymous / authenticated user | Dữ liệu: Input hợp lệ, sai và session bị revoke từ dữ liệu seed; raw token tạm thời không đưa vào artifact. | 1) Chạy npm run qa:auth:programmatic. | 2) Review 28 check về login, từ chối, session, bearer, me, logout, revoke và sanitize. | 3) Xác nhận exit code 0 và không có check fail/skip.</t>
  </si>
  <si>
    <t xml:space="preserve">Cả 28 check xác thực/session local đều đạt; lỗi được sanitize và session đã revoke không dùng lại được.</t>
  </si>
  <si>
    <t xml:space="preserve">2026-07-23T10:58:30+07:00</t>
  </si>
  <si>
    <t xml:space="preserve">Thực tế: 28 đạt, 0 lỗi, 0 bỏ qua; exit code 0. | Bằng chứng: scripts/qa/test-auth-foundation-programmatic.js | Defect: IDTS-35, IDTS-52, IDTS-53 | Giới hạn: Chưa có UAT browser login/profile hiện tại và không claim identity provider production. | Điều kiện sau: Session test được revoke hoặc chỉ còn trong database in-memory.</t>
  </si>
  <si>
    <t xml:space="preserve">FT-DUP-001</t>
  </si>
  <si>
    <t xml:space="preserve">Hỗ trợ kiểm tra trùng trước khi tạo</t>
  </si>
  <si>
    <t xml:space="preserve">Req: SRS-FR-BUG-003 | Vai trò: Tester | Dữ liệu: Mô tả lỗi login mới và classification context. | 1) Mở Create Bug. | 2) Chạy kiểm tra bug tương tự. | 3) Review candidate và bỏ qua suggestion. | 4) Xác nhận không có DuplicateLinks mới và tiếp tục create.</t>
  </si>
  <si>
    <t xml:space="preserve">Candidate liên quan hiển thị dạng gợi ý; bỏ qua không đổi dữ liệu hoặc chặn create.</t>
  </si>
  <si>
    <t xml:space="preserve">2026-07-24T20:42:48+07:00</t>
  </si>
  <si>
    <t xml:space="preserve">IDTS-100 automated acceptance under DonHV</t>
  </si>
  <si>
    <t xml:space="preserve">Thực tế: ??t tr?n Render Shared QA. API v? h?p tho?i Fiori tr? g?i ? tr?ng l?p ch? ?? review, bao ph? tr?ng th?i kh?ng c? k?t qu? v? kh?ng thay ??i d? li?u workflow c?a Bug. | Bằng chứng: docs/pm/evidence/idts-100/shared-qa-ai/render-ai-smoke.json, docs/pm/evidence/idts-100/shared-qa-ai-browser/all-review-actions/shared-qa-ai-browser.json | Defect: None | Giới hạn: Evidence acceptance do agent th?c thi; x?c nh?n UAT ch?nh th?c c?a con ng??i ???c theo d?i ri?ng. | Điều kiện sau: Không có quan hệ duplicate tự động.</t>
  </si>
  <si>
    <t xml:space="preserve">FT-CLASS-ASSIGN-001</t>
  </si>
  <si>
    <t xml:space="preserve">Phân loại và assign theo responsibility active</t>
  </si>
  <si>
    <t xml:space="preserve">Req: SRS-FR-CLASS-001, SRS-FR-CLASS-004, SRS-FR-ASSIGN-001 | Vai trò: Tester | Dữ liệu: Application Component=Bug Management; Defect Category=Fiori/UI5; một Developer phù hợp và một không phù hợp. | 1) Mở Create Bug. | 2) Chọn Application Component và Defect Category. | 3) Mở candidate Smart Assign/Assignee. | 4) Chọn Developer phù hợp và lưu. | 5) Reload bug.</t>
  </si>
  <si>
    <t xml:space="preserve">Chỉ candidate active có responsibility được chọn; bug lưu ở Assigned và ownership còn sau reload.</t>
  </si>
  <si>
    <t xml:space="preserve">Thực tế: ??t tr?n Render Shared QA. Mapping ph?n lo?i active ???c ch?p nh?n, Developer ph? h?p ???c assign, Developer t? assign qua API b? ch?n, v? Smart Assign v?n gi? quy?t ??nh th? c?ng. | Bằng chứng: docs/pm/evidence/idts-100/shared-qa-lifecycle/shared-qa-lifecycle.json, docs/pm/evidence/idts-100/shared-qa-ai-browser/assignment/idts72-ai-browser-smoke.json | Defect: IDTS-56 | Giới hạn: Evidence acceptance do agent th?c thi; x?c nh?n UAT ch?nh th?c c?a con ng??i ???c theo d?i ri?ng. | Điều kiện sau: Developer được assign là technical owner.</t>
  </si>
  <si>
    <t xml:space="preserve">FT-PENDING-001</t>
  </si>
  <si>
    <t xml:space="preserve">Tạo bug không có assignee</t>
  </si>
  <si>
    <t xml:space="preserve">Req: SRS-FR-ASSIGN-003, SRS-FR-STATUS-009 | Vai trò: Tester | Dữ liệu: Bug hợp lệ nhưng không chọn assignee. | 1) Tạo bug hợp lệ. | 2) Không chọn assignee. | 3) Submit và reload. | 4) Kiểm tra status và Current Action Owner.</t>
  </si>
  <si>
    <t xml:space="preserve">Bug ở Pending Assignment; không Developer nào được tự chọn; PM/Tester queue nhận action tiếp theo.</t>
  </si>
  <si>
    <t xml:space="preserve">Thực tế: ??t tr?n Render Shared QA. Activate draft h?p l? kh?ng c? assignee t?o tr?ng th?i PENDING_ASSIGNMENT, kh?ng c? assignee v? PM l? vai tr? x? l? ti?p theo. | Bằng chứng: docs/pm/evidence/idts-100/shared-qa-lifecycle/shared-qa-lifecycle.json | Defect: None | Giới hạn: Evidence acceptance do agent th?c thi; x?c nh?n UAT ch?nh th?c c?a con ng??i ???c theo d?i ri?ng. | Điều kiện sau: Bug chờ assignment rõ ràng.</t>
  </si>
  <si>
    <t xml:space="preserve">FT-REASSIGN-001</t>
  </si>
  <si>
    <t xml:space="preserve">Reassign có history</t>
  </si>
  <si>
    <t xml:space="preserve">Req: SRS-FR-ASSIGN-004, SRS-FR-AUDIT-001 | Vai trò: Tester / PM | Dữ liệu: Lý do: cân bằng workload. | 1) Mở bug đã assign. | 2) Chọn Developer phù hợp khác. | 3) Lưu kèm lý do reassign. | 4) Reload ownership và History.</t>
  </si>
  <si>
    <t xml:space="preserve">Chỉ còn một assignee; history có actor, owner cũ/mới, lý do và timestamp.</t>
  </si>
  <si>
    <t xml:space="preserve">Thực tế: ??t tr?n Render Shared QA. Bug ?i t? Rejected v? Pending Assignment, x?a assignee, ???c assign l?i v? gi? ??ng action type trong history. | Bằng chứng: docs/pm/evidence/idts-100/shared-qa-lifecycle/shared-qa-lifecycle.json | Defect: None | Giới hạn: Evidence acceptance do agent th?c thi; x?c nh?n UAT ch?nh th?c c?a con ng??i ???c theo d?i ri?ng. | Điều kiện sau: Developer mới là technical owner.</t>
  </si>
  <si>
    <t xml:space="preserve">FT-DEV-INFO-001</t>
  </si>
  <si>
    <t xml:space="preserve">Developer review và Request More Information</t>
  </si>
  <si>
    <t xml:space="preserve">Req: SRS-FR-STATUS-001, SRS-FR-STATUS-002, SRS-FR-STATUS-009 | Vai trò: Developer | Dữ liệu: Lý do: thiếu phiên bản browser và bước tái hiện chính xác. | 1) Mở bằng Developer không được assign và thử action. | 2) Mở bằng Developer được assign và gửi reason rỗng. | 3) Gửi reason hợp lệ. | 4) Reload status, owner, notification và history.</t>
  </si>
  <si>
    <t xml:space="preserve">Sai role/owner và reason rỗng bị chặn; action hợp lệ set Need More Information và Tester action owner cùng audit/notification.</t>
  </si>
  <si>
    <t xml:space="preserve">Thực tế: ??t tr?n Render Shared QA. Developer ???c assign y?u c?u th?m th?ng tin, reason r?ng tr? 400 v? Tester resubmit Bug v? ??ng Developer. | Bằng chứng: docs/pm/evidence/idts-100/shared-qa-lifecycle/shared-qa-lifecycle.json, docs/pm/evidence/idts-100/shared-qa-email-brevo-20260724.md | Defect: None | Giới hạn: Evidence acceptance do agent th?c thi; x?c nh?n UAT ch?nh th?c c?a con ng??i ???c theo d?i ri?ng. | Điều kiện sau: Tester phải bổ sung thông tin và resubmit.</t>
  </si>
  <si>
    <t xml:space="preserve">FT-REJECT-001</t>
  </si>
  <si>
    <t xml:space="preserve">Reject, sửa và reassign</t>
  </si>
  <si>
    <t xml:space="preserve">Req: SRS-FR-STATUS-003, SRS-FR-STATUS-004, SRS-FR-STATUS-009 | Vai trò: Developer / Tester | Dữ liệu: Lý do: component là Notification, không phải Dashboard. | 1) Reject không reason và xác nhận validation. | 2) Reject với reason cụ thể. | 3) Reload status/history/current owner. | 4) Bằng Tester, sửa classification và reassign hoặc chọn Pending Assignment. | 5) Reload lại.</t>
  </si>
  <si>
    <t xml:space="preserve">Reason rỗng bị chặn; rejection hợp lệ ghi follow-up; sau sửa rời Rejected qua Assigned hoặc Pending Assignment, không đi thẳng Need More Information.</t>
  </si>
  <si>
    <t xml:space="preserve">Thực tế: ??t tr?n Render Shared QA. Developer ???c assign reject k?m l? do; PM ??a Bug v? h?ng ??i assignment v? ho?n t?t correction follow-up b?ng reassign. | Bằng chứng: docs/pm/evidence/idts-100/shared-qa-lifecycle/shared-qa-lifecycle.json, docs/pm/evidence/idts-100/shared-qa-email-brevo-20260724.md | Defect: None | Giới hạn: Evidence acceptance do agent th?c thi; x?c nh?n UAT ch?nh th?c c?a con ng??i ???c theo d?i ri?ng. | Điều kiện sau: Bug có technical/queue owner tiếp theo rõ ràng.</t>
  </si>
  <si>
    <t xml:space="preserve">FT-LIFECYCLE-001</t>
  </si>
  <si>
    <t xml:space="preserve">Resolve, retest, close và reopen</t>
  </si>
  <si>
    <t xml:space="preserve">Req: SRS-FR-STATUS-005, SRS-FR-STATUS-006, SRS-FR-STATUS-007, SRS-FR-STATUS-008 | Vai trò: Developer / Tester / PM | Dữ liệu: Resolution note cùng một observation retest pass và một fail. | 1) Developer resolve kèm note. | 2) Tester/PM chuyển Retest Required. | 3) Ghi retest pass và close; reload. | 4) Trên bug thứ hai, ghi retest fail và reopen; reload.</t>
  </si>
  <si>
    <t xml:space="preserve">Pass đến Closed; fail đến Reopened; note bắt buộc, owner và audit nhất quán sau reload.</t>
  </si>
  <si>
    <t xml:space="preserve">Thực tế: ??t tr?n Render Shared QA v?i session PM, Tester v? Developer: assign, review, progress, y?u c?u th?ng tin, resubmit, resolve, retest, close, reopen, reject v? reassign ??u persist c?ng history ch?nh x?c v? notification side effect. | Bằng chứng: docs/pm/evidence/idts-100/shared-qa-lifecycle/shared-qa-lifecycle.json, docs/pm/evidence/idts-100/shared-qa-email-brevo-20260724.md | Defect: None | Giới hạn: Evidence acceptance do agent th?c thi; x?c nh?n UAT ch?nh th?c c?a con ng??i ???c theo d?i ri?ng. | Điều kiện sau: Closed không có next processor; Reopened quay lại xử lý active.</t>
  </si>
  <si>
    <t xml:space="preserve">FT-COMMENT-001</t>
  </si>
  <si>
    <t xml:space="preserve">Thêm comment và giữ lại sau reconnect</t>
  </si>
  <si>
    <t xml:space="preserve">Req: SRS-FR-COMMENT-001, SRS-FR-COMMENT-002 | Vai trò: Tester | Dữ liệu: Comment marker duy nhất đã sanitize. | 1) Thêm comment qua bound action. | 2) Đọc comment row. | 3) Kết nối lại cùng file SQLite. | 4) Đọc lại row và so sánh status bug.</t>
  </si>
  <si>
    <t xml:space="preserve">Comment còn sau reconnect và không trực tiếp đổi status bug.</t>
  </si>
  <si>
    <t xml:space="preserve">2026-07-23T10:59:13+07:00</t>
  </si>
  <si>
    <t xml:space="preserve">Thực tế: Đạt: row được tạo và còn sau reconnect. | Bằng chứng: scripts/qa/test-comments-attachments-programmatic.js | Defect: IDTS-55 | Giới hạn: Chưa có evidence visual comment Fiori mới. | Điều kiện sau: Test database nằm trong .tmp bị ignore.</t>
  </si>
  <si>
    <t xml:space="preserve">FT-ATTACH-001</t>
  </si>
  <si>
    <t xml:space="preserve">Upload, download, reload và xóa attachment</t>
  </si>
  <si>
    <t xml:space="preserve">Req: SRS-DATA-007, SRS-FR-AUDIT-001 | Vai trò: Tester | Dữ liệu: File text/image nhỏ, biến thể MIME không cho phép và file vượt giới hạn. | 1) Edit root draft và upload evidence hợp lệ. | 2) Activate và reload. | 3) Download và so sánh nội dung. | 4) Thử biến thể MIME/size sai. | 5) Xóa và kiểm tra cleanup metadata/object/history.</t>
  </si>
  <si>
    <t xml:space="preserve">Evidence hợp lệ persist và download được; biến thể sai bị chặn; delete dọn storage và ghi history.</t>
  </si>
  <si>
    <t xml:space="preserve">Thực tế: ??t tr?n Render Shared QA. Hai file ch?n tr??c khi save ???c upload sau activation, download c? SHA-256 kh?p, c?n sau redeploy; m?t attachment ???c x?a v? l?n download sau tr? 404. | Bằng chứng: docs/pm/evidence/idts-100/shared-qa-attachments/idts73-create-attachments-browser.json, docs/pm/evidence/idts-100/shared-qa-attachments/delete-verification-20260724.md | Defect: IDTS-55 | Giới hạn: Evidence acceptance do agent th?c thi; x?c nh?n UAT ch?nh th?c c?a con ng??i ???c theo d?i ri?ng. | Điều kiện sau: Không còn attachment mồ côi.</t>
  </si>
  <si>
    <t xml:space="preserve">FT-NOTIF-001</t>
  </si>
  <si>
    <t xml:space="preserve">Notification outbox success, failure, retry và rollback isolation</t>
  </si>
  <si>
    <t xml:space="preserve">Req: SRS-FR-NOTIF-001, SRS-FR-NOTIF-002, SRS-FR-DELIVERY-001 | Vai trò: System / Tester | Dữ liệu: Biến thể enabled, disabled, recipient inactive, success và failure chứa secret giả. | 1) Tạo notification/outbox row. | 2) Xử lý biến thể success và failure. | 3) Đến thời điểm retry và xử lý lại. | 4) Kiểm tra field đã sanitize và OData shape. | 5) Ép business rollback và xác nhận row rollback.</t>
  </si>
  <si>
    <t xml:space="preserve">State là PENDING/SENT/FAILED/SKIPPED phù hợp; retry thành công; lỗi provider không lộ secret hoặc làm hỏng workflow.</t>
  </si>
  <si>
    <t xml:space="preserve">2026-07-23T10:58:52+07:00</t>
  </si>
  <si>
    <t xml:space="preserve">Thực tế: Đạt với 58 assertion bằng transport có kiểm soát. | Bằng chứng: scripts/qa/test-email-outbox-programmatic.js | Defect: None | Giới hạn: Không chạy provider live; delivery local bị tắt là SKIPPED. | Điều kiện sau: Chỉ có row local được kiểm soát.</t>
  </si>
  <si>
    <t xml:space="preserve">FT-PM-001</t>
  </si>
  <si>
    <t xml:space="preserve">Flag, queue và current action owner cho PM</t>
  </si>
  <si>
    <t xml:space="preserve">Req: SRS-FR-PM-001, SRS-FR-PM-002, SRS-FR-PM-003, SRS-FR-STATUS-009 | Vai trò: PM | Dữ liệu: BUG-0001..0004 và một QA bug đã closed. | 1) Đọc calculated flag. | 2) Filter từng monitoring queue. | 3) Đọc currentActionOwnerDisplayName với sparse selection. | 4) So sánh boundary bug closed.</t>
  </si>
  <si>
    <t xml:space="preserve">Hai mươi check flag/filter/owner khớp; bug closed không overdue hoặc pending.</t>
  </si>
  <si>
    <t xml:space="preserve">2026-07-23T10:59:01+07:00</t>
  </si>
  <si>
    <t xml:space="preserve">Thực tế: Đạt 20/20. | Bằng chứng: scripts/qa/test-pm-monitoring-programmatic.js | Defect: None | Giới hạn: Chưa check visual/UX dashboard mới. | Điều kiện sau: Monitoring read-only không đổi business data.</t>
  </si>
  <si>
    <t xml:space="preserve">FT-AI-REVIEW-001</t>
  </si>
  <si>
    <t xml:space="preserve">Con người review AI suggestion mà không tự động mutation</t>
  </si>
  <si>
    <t xml:space="preserve">Req: SRS-FR-AI-002, SRS-FR-AI-003 | Vai trò: Tester / PM | Dữ liệu: Suggestion similar/classification/handoff với biến thể safe và malformed. | 1) Ghi giá trị bug trước suggestion. | 2) Mở review suggestion. | 3) Bỏ qua và reload. | 4) Lặp lại mode failure/malformed. | 5) Xác nhận giá trị bug không đổi và audit/feedback an toàn.</t>
  </si>
  <si>
    <t xml:space="preserve">Suggestion không tự đổi assignment, classification hoặc lifecycle; workflow bình thường vẫn dùng được.</t>
  </si>
  <si>
    <t xml:space="preserve">Thực tế: ??t acceptance khi provider b? t?t tr?n Render Shared QA. Similar Bugs, Classification, Handoff Summary v? Smart Assignment ??u ch? ?? review, an to?n, hi?n th? tr?n browser v? kh?ng thay ??i workflow. OpenAI live v?n NOT ACCEPTED theo quy?t ??nh. | Bằng chứng: docs/pm/evidence/idts-100/shared-qa-ai/render-ai-smoke.json, docs/pm/evidence/idts-100/shared-qa-ai-browser/all-review-actions/shared-qa-ai-browser.json, docs/pm/evidence/idts-100/shared-qa-ai-browser/assignment/idts72-ai-browser-smoke.json | Defect: IDTS-78 | Giới hạn: Evidence acceptance do agent th?c thi; x?c nh?n UAT ch?nh th?c c?a con ng??i ???c theo d?i ri?ng. | Điều kiện sau: Bug không đổi trừ khi user có quyền thực hiện action bình thường riêng.</t>
  </si>
  <si>
    <t xml:space="preserve">Chức năng</t>
  </si>
  <si>
    <t xml:space="preserve">Flow UI manual vẫn NOT_RUN và UAT vẫn PREPARED; không claim sign-off.</t>
  </si>
  <si>
    <t xml:space="preserve">UAT-001</t>
  </si>
  <si>
    <t xml:space="preserve">Tạo và phân loại bug</t>
  </si>
  <si>
    <t xml:space="preserve">Req: SRS-FR-BUG-001, SRS-FR-BUG-002, SRS-FR-CLASS-003, SRS-FR-ASSIGN-003 | Vai trò: Tester | Dữ liệu: Lỗi UI trong Bug Management; priority/severity hợp lệ; không assignee cho biến thể Pending. | 1) Mở Create Bug. | 2) Nhập đủ dữ liệu bắt buộc. | 3) Chọn classification. | 4) Submit một lần có assignee và một lần không. | 5) Reload cả hai bug.</t>
  </si>
  <si>
    <t xml:space="preserve">Assigned/Pending Assignment khớp lựa chọn; không tự chọn Developer; dữ liệu persist.</t>
  </si>
  <si>
    <t xml:space="preserve">Thực tế: Chưa chạy | Bằng chứng: docs/pm/evidence/idts-100/shared-qa-lifecycle/shared-qa-lifecycle.json, docs/pm/evidence/idts-100/shared-qa-attachments/idts73-create-attachments-browser.json | Defect: None | Giới hạn: PREPARED ? v?n c?n ng??i th?t th?c thi, ??a ra quy?t ??nh, ng?y v? ch? k?. | Điều kiện sau: Bug UAT được đánh dấu để cleanup.</t>
  </si>
  <si>
    <t xml:space="preserve">UAT-002</t>
  </si>
  <si>
    <t xml:space="preserve">Developer review, request information và rejection</t>
  </si>
  <si>
    <t xml:space="preserve">Req: SRS-FR-STATUS-001, SRS-FR-STATUS-002, SRS-FR-STATUS-003, SRS-FR-STATUS-004 | Vai trò: Developer / Tester | Dữ liệu: Reason thiếu thông tin và reason rejection cụ thể. | 1) Bằng Developer được assign, review hai bug. | 2) Request information cho một bug kèm reason. | 3) Reject bug còn lại kèm reason. | 4) Bằng Tester, resubmit/sửa và reassign. | 5) Reload history và ownership.</t>
  </si>
  <si>
    <t xml:space="preserve">Reason bắt buộc, transition hợp lệ, notification, history và Current Action Owner đúng.</t>
  </si>
  <si>
    <t xml:space="preserve">Thực tế: Chưa chạy | Bằng chứng: docs/pm/evidence/idts-100/shared-qa-lifecycle/shared-qa-lifecycle.json, docs/pm/evidence/idts-100/shared-qa-email-brevo-20260724.md | Defect: None | Giới hạn: PREPARED ? v?n c?n ng??i th?t th?c thi, ??a ra quy?t ??nh, ng?y v? ch? k?. | Điều kiện sau: Cả hai bug có next owner rõ ràng.</t>
  </si>
  <si>
    <t xml:space="preserve">UAT-003</t>
  </si>
  <si>
    <t xml:space="preserve">Req: SRS-FR-STATUS-005, SRS-FR-STATUS-006, SRS-FR-STATUS-007 | Vai trò: Developer / Tester / PM | Dữ liệu: Resolution note cùng một observation pass và một fail. | 1) Resolve cả hai bug. | 2) Chuyển cả hai sang Retest Required. | 3) Close bug pass. | 4) Reopen bug fail. | 5) Reload status/history/owner.</t>
  </si>
  <si>
    <t xml:space="preserve">Pass đóng; fail mở lại; không xuất hiện nhánh request information không được hỗ trợ sau retest.</t>
  </si>
  <si>
    <t xml:space="preserve">Thực tế: Chưa chạy | Bằng chứng: docs/pm/evidence/idts-100/shared-qa-lifecycle/shared-qa-lifecycle.json, docs/pm/evidence/idts-100/shared-qa-email-brevo-20260724.md | Defect: None | Giới hạn: PREPARED ? v?n c?n ng??i th?t th?c thi, ??a ra quy?t ??nh, ng?y v? ch? k?. | Điều kiện sau: Một bug UAT Closed và một Reopened.</t>
  </si>
  <si>
    <t xml:space="preserve">UAT-004</t>
  </si>
  <si>
    <t xml:space="preserve">Comment và attachment evidence</t>
  </si>
  <si>
    <t xml:space="preserve">Req: SRS-FR-COMMENT-001, SRS-DATA-007, SRS-FR-AUDIT-001 | Vai trò: Tester / Developer | Dữ liệu: Comment cụ thể và file evidence đã sanitize. | 1) Thêm comment. | 2) Upload evidence qua edit/draft. | 3) Lưu và reload. | 4) Download và so sánh. | 5) Xóa và xác nhận cleanup/history.</t>
  </si>
  <si>
    <t xml:space="preserve">Comment và evidence persist; download được; cleanup và history đúng.</t>
  </si>
  <si>
    <t xml:space="preserve">Thực tế: Chưa chạy | Bằng chứng: docs/pm/evidence/idts-100/shared-qa-attachments/idts73-create-attachments-browser.json, docs/pm/evidence/idts-100/shared-qa-attachments/delete-verification-20260724.md | Defect: None | Giới hạn: PREPARED ? v?n c?n ng??i th?t th?c thi, ??a ra quy?t ??nh, ng?y v? ch? k?. | Điều kiện sau: Attachment được cleanup theo kế hoạch UAT.</t>
  </si>
  <si>
    <t xml:space="preserve">UAT-005</t>
  </si>
  <si>
    <t xml:space="preserve">PM monitoring và action ownership</t>
  </si>
  <si>
    <t xml:space="preserve">Req: SRS-FR-PM-001, SRS-FR-PM-002, SRS-FR-PM-003 | Vai trò: PM | Dữ liệu: Bug pending, overdue, rejected, retest, closed và assigned. | 1) Mở PM monitoring view. | 2) Áp dụng từng queue/filter. | 3) So sánh count với bug nguồn. | 4) Mở record đại diện và kiểm tra owner. | 5) Reload dashboard.</t>
  </si>
  <si>
    <t xml:space="preserve">Count, filter và wording owner dễ hiểu và nhất quán sau reload.</t>
  </si>
  <si>
    <t xml:space="preserve">Thực tế: Chưa chạy | Bằng chứng: docs/pm/evidence/idts-100/shared-qa-lifecycle/shared-qa-lifecycle.json, docs/pm/evidence/idts-100/local-fast/ | Defect: None | Giới hạn: PREPARED ? v?n c?n ng??i th?t th?c thi, ??a ra quy?t ??nh, ng?y v? ch? k?. | Điều kiện sau: Monitoring vẫn read-only.</t>
  </si>
  <si>
    <t xml:space="preserve">UAT-006</t>
  </si>
  <si>
    <t xml:space="preserve">AI advisory và fallback an toàn</t>
  </si>
  <si>
    <t xml:space="preserve">Req: SRS-FR-AI-002, SRS-FR-AI-003 | Vai trò: Tester / PM | Dữ liệu: Suggestion similar/classification/handoff trên test bug. | 1) Ghi giá trị bug. | 2) Mở và bỏ qua suggestion. | 3) Reload và so sánh giá trị. | 4) Kích hoạt mode disabled/failure. | 5) Tiếp tục action bug bình thường có quyền.</t>
  </si>
  <si>
    <t xml:space="preserve">Không mutation tự động; hiển thị message an toàn; action bình thường vẫn dùng được.</t>
  </si>
  <si>
    <t xml:space="preserve">Thực tế: Chưa chạy | Bằng chứng: docs/pm/evidence/idts-100/shared-qa-ai/render-ai-smoke.json, docs/pm/evidence/idts-100/shared-qa-ai-browser/all-review-actions/shared-qa-ai-browser.json, docs/pm/evidence/idts-100/shared-qa-ai-browser/assignment/idts72-ai-browser-smoke.json | Defect: None | Giới hạn: PREPARED ? v?n c?n ng??i th?t th?c thi, ??a ra quy?t ??nh, ng?y v? ch? k?. | Điều kiện sau: Bug test vẫn do con người kiểm soát.</t>
  </si>
</sst>
</file>

<file path=xl/styles.xml><?xml version="1.0" encoding="utf-8"?>
<styleSheet xmlns="http://schemas.openxmlformats.org/spreadsheetml/2006/main">
  <numFmts count="8">
    <numFmt numFmtId="164" formatCode="General"/>
    <numFmt numFmtId="165" formatCode="yyyy\-mm\-dd"/>
    <numFmt numFmtId="166" formatCode="d\-mmm\-yy;@"/>
    <numFmt numFmtId="167" formatCode="@"/>
    <numFmt numFmtId="168" formatCode="d\-mmm\-yy"/>
    <numFmt numFmtId="169" formatCode="0"/>
    <numFmt numFmtId="170" formatCode="0.00%"/>
    <numFmt numFmtId="171" formatCode="0%"/>
  </numFmts>
  <fonts count="30">
    <font>
      <sz val="12"/>
      <name val="ＭＳ Ｐゴシック"/>
      <family val="0"/>
      <charset val="128"/>
    </font>
    <font>
      <sz val="10"/>
      <name val="Arial"/>
      <family val="0"/>
    </font>
    <font>
      <sz val="10"/>
      <name val="Arial"/>
      <family val="0"/>
    </font>
    <font>
      <sz val="10"/>
      <name val="Arial"/>
      <family val="0"/>
    </font>
    <font>
      <sz val="11"/>
      <name val="ＭＳ Ｐゴシック"/>
      <family val="2"/>
      <charset val="128"/>
    </font>
    <font>
      <sz val="11"/>
      <name val="ＭＳ Ｐゴシック"/>
      <family val="3"/>
      <charset val="128"/>
    </font>
    <font>
      <sz val="9"/>
      <name val="ＭＳ ゴシック"/>
      <family val="3"/>
      <charset val="128"/>
    </font>
    <font>
      <sz val="10"/>
      <name val="Tahoma"/>
      <family val="2"/>
      <charset val="1"/>
    </font>
    <font>
      <b val="true"/>
      <sz val="26"/>
      <color rgb="FFFF0000"/>
      <name val="Tahoma"/>
      <family val="2"/>
      <charset val="1"/>
    </font>
    <font>
      <b val="true"/>
      <sz val="20"/>
      <color rgb="FF000000"/>
      <name val="Tahoma"/>
      <family val="2"/>
      <charset val="1"/>
    </font>
    <font>
      <b val="true"/>
      <sz val="12"/>
      <color rgb="FF993300"/>
      <name val="Tahoma"/>
      <family val="2"/>
      <charset val="1"/>
    </font>
    <font>
      <i val="true"/>
      <sz val="12"/>
      <color rgb="FF008000"/>
      <name val="Tahoma"/>
      <family val="2"/>
      <charset val="1"/>
    </font>
    <font>
      <sz val="12"/>
      <name val="Tahoma"/>
      <family val="2"/>
      <charset val="1"/>
    </font>
    <font>
      <b val="true"/>
      <sz val="12"/>
      <name val="Tahoma"/>
      <family val="2"/>
      <charset val="1"/>
    </font>
    <font>
      <i val="true"/>
      <sz val="12"/>
      <name val="Tahoma"/>
      <family val="2"/>
      <charset val="1"/>
    </font>
    <font>
      <b val="true"/>
      <sz val="12"/>
      <color rgb="FFFFFFFF"/>
      <name val="Tahoma"/>
      <family val="2"/>
      <charset val="1"/>
    </font>
    <font>
      <sz val="10"/>
      <name val="Arial"/>
      <family val="2"/>
    </font>
    <font>
      <b val="true"/>
      <sz val="12"/>
      <color rgb="FF000000"/>
      <name val="Tahoma"/>
      <family val="2"/>
      <charset val="1"/>
    </font>
    <font>
      <b val="true"/>
      <sz val="12"/>
      <color rgb="FFFF0000"/>
      <name val="Tahoma"/>
      <family val="2"/>
      <charset val="1"/>
    </font>
    <font>
      <b val="true"/>
      <sz val="10"/>
      <name val="Tahoma"/>
      <family val="2"/>
      <charset val="1"/>
    </font>
    <font>
      <u val="single"/>
      <sz val="12"/>
      <color rgb="FF0563C1"/>
      <name val="Tahoma"/>
      <family val="2"/>
      <charset val="1"/>
    </font>
    <font>
      <u val="single"/>
      <sz val="11"/>
      <color rgb="FF0000FF"/>
      <name val="ＭＳ Ｐゴシック"/>
      <family val="3"/>
      <charset val="128"/>
    </font>
    <font>
      <sz val="12"/>
      <color rgb="FF000000"/>
      <name val="Tahoma"/>
      <family val="2"/>
      <charset val="1"/>
    </font>
    <font>
      <sz val="12"/>
      <color rgb="FFFFFFFF"/>
      <name val="Tahoma"/>
      <family val="2"/>
      <charset val="1"/>
    </font>
    <font>
      <b val="true"/>
      <sz val="12"/>
      <color rgb="FF0000FF"/>
      <name val="Tahoma"/>
      <family val="2"/>
      <charset val="1"/>
    </font>
    <font>
      <b val="true"/>
      <sz val="12"/>
      <color rgb="FFFFFFFF"/>
      <name val="Cambria"/>
      <family val="0"/>
      <charset val="1"/>
    </font>
    <font>
      <sz val="10"/>
      <color rgb="FFFF0000"/>
      <name val="Tahoma"/>
      <family val="2"/>
      <charset val="1"/>
    </font>
    <font>
      <sz val="12"/>
      <color rgb="FFFF0000"/>
      <name val="Tahoma"/>
      <family val="2"/>
      <charset val="1"/>
    </font>
    <font>
      <sz val="10"/>
      <color rgb="FF000000"/>
      <name val="Tahoma"/>
      <family val="2"/>
      <charset val="1"/>
    </font>
    <font>
      <b val="true"/>
      <i val="true"/>
      <sz val="12"/>
      <name val="Tahoma"/>
      <family val="2"/>
      <charset val="1"/>
    </font>
  </fonts>
  <fills count="8">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003366"/>
      </patternFill>
    </fill>
    <fill>
      <patternFill patternType="solid">
        <fgColor rgb="FF0B5CAD"/>
        <bgColor rgb="FF0563C1"/>
      </patternFill>
    </fill>
    <fill>
      <patternFill patternType="solid">
        <fgColor theme="6" tint="-0.25"/>
        <bgColor rgb="FF808080"/>
      </patternFill>
    </fill>
    <fill>
      <patternFill patternType="solid">
        <fgColor rgb="FFCCFFFF"/>
        <bgColor rgb="FFCCFFFF"/>
      </patternFill>
    </fill>
  </fills>
  <borders count="34">
    <border diagonalUp="false" diagonalDown="false">
      <left/>
      <right/>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thin"/>
      <right style="hair"/>
      <top style="hair"/>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style="hair"/>
      <right/>
      <top style="thin"/>
      <bottom style="hair"/>
      <diagonal/>
    </border>
    <border diagonalUp="false" diagonalDown="false">
      <left/>
      <right style="medium"/>
      <top/>
      <bottom/>
      <diagonal/>
    </border>
    <border diagonalUp="false" diagonalDown="false">
      <left/>
      <right style="hair"/>
      <top style="thin"/>
      <bottom style="hair"/>
      <diagonal/>
    </border>
    <border diagonalUp="false" diagonalDown="false">
      <left style="hair"/>
      <right style="medium"/>
      <top style="thin"/>
      <bottom style="hair"/>
      <diagonal/>
    </border>
    <border diagonalUp="false" diagonalDown="false">
      <left/>
      <right style="hair"/>
      <top style="hair"/>
      <bottom style="hair"/>
      <diagonal/>
    </border>
    <border diagonalUp="false" diagonalDown="false">
      <left style="hair"/>
      <right style="medium"/>
      <top style="hair"/>
      <bottom style="hair"/>
      <diagonal/>
    </border>
    <border diagonalUp="false" diagonalDown="false">
      <left style="hair"/>
      <right/>
      <top style="hair"/>
      <bottom style="hair"/>
      <diagonal/>
    </border>
    <border diagonalUp="false" diagonalDown="false">
      <left/>
      <right style="hair"/>
      <top style="hair"/>
      <bottom style="thin"/>
      <diagonal/>
    </border>
    <border diagonalUp="false" diagonalDown="false">
      <left style="hair"/>
      <right style="medium"/>
      <top style="hair"/>
      <bottom style="thin"/>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style="thin"/>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1"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149">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23" applyFont="true" applyBorder="false" applyAlignment="true" applyProtection="false">
      <alignment horizontal="left" vertical="bottom" textRotation="0" wrapText="false" indent="1" shrinkToFit="false"/>
      <protection locked="true" hidden="false"/>
    </xf>
    <xf numFmtId="164" fontId="7" fillId="0" borderId="0" xfId="23" applyFont="true" applyBorder="false" applyAlignment="false" applyProtection="false">
      <alignment horizontal="general" vertical="bottom" textRotation="0" wrapText="false" indent="0" shrinkToFit="false"/>
      <protection locked="true" hidden="false"/>
    </xf>
    <xf numFmtId="164" fontId="8" fillId="0" borderId="1" xfId="23" applyFont="true" applyBorder="true" applyAlignment="true" applyProtection="false">
      <alignment horizontal="center" vertical="center" textRotation="0" wrapText="false" indent="0" shrinkToFit="false"/>
      <protection locked="true" hidden="false"/>
    </xf>
    <xf numFmtId="164" fontId="9" fillId="0" borderId="2" xfId="23" applyFont="true" applyBorder="true" applyAlignment="true" applyProtection="false">
      <alignment horizontal="center" vertical="center" textRotation="0" wrapText="false" indent="0" shrinkToFit="false"/>
      <protection locked="true" hidden="false"/>
    </xf>
    <xf numFmtId="164" fontId="7" fillId="0" borderId="0" xfId="23" applyFont="true" applyBorder="false" applyAlignment="true" applyProtection="false">
      <alignment horizontal="center" vertical="center" textRotation="0" wrapText="false" indent="0" shrinkToFit="false"/>
      <protection locked="true" hidden="false"/>
    </xf>
    <xf numFmtId="164" fontId="10" fillId="2" borderId="0" xfId="23" applyFont="true" applyBorder="false" applyAlignment="true" applyProtection="false">
      <alignment horizontal="left" vertical="bottom" textRotation="0" wrapText="false" indent="1" shrinkToFit="false"/>
      <protection locked="true" hidden="false"/>
    </xf>
    <xf numFmtId="164" fontId="11" fillId="0" borderId="0" xfId="23" applyFont="true" applyBorder="false" applyAlignment="true" applyProtection="false">
      <alignment horizontal="left" vertical="bottom" textRotation="0" wrapText="false" indent="1" shrinkToFit="false"/>
      <protection locked="true" hidden="false"/>
    </xf>
    <xf numFmtId="164" fontId="12" fillId="2" borderId="0" xfId="23" applyFont="true" applyBorder="false" applyAlignment="false" applyProtection="false">
      <alignment horizontal="general" vertical="bottom" textRotation="0" wrapText="false" indent="0" shrinkToFit="false"/>
      <protection locked="true" hidden="false"/>
    </xf>
    <xf numFmtId="164" fontId="13" fillId="2" borderId="3" xfId="23" applyFont="true" applyBorder="true" applyAlignment="true" applyProtection="false">
      <alignment horizontal="left" vertical="bottom" textRotation="0" wrapText="false" indent="0" shrinkToFit="false"/>
      <protection locked="true" hidden="false"/>
    </xf>
    <xf numFmtId="164" fontId="14" fillId="0" borderId="3" xfId="23" applyFont="true" applyBorder="true" applyAlignment="true" applyProtection="false">
      <alignment horizontal="left" vertical="top" textRotation="0" wrapText="true" indent="0" shrinkToFit="false"/>
      <protection locked="true" hidden="false"/>
    </xf>
    <xf numFmtId="164" fontId="12" fillId="0" borderId="2" xfId="23" applyFont="true" applyBorder="true" applyAlignment="true" applyProtection="false">
      <alignment horizontal="left" vertical="top" textRotation="0" wrapText="true" indent="0" shrinkToFit="false"/>
      <protection locked="true" hidden="false"/>
    </xf>
    <xf numFmtId="165" fontId="14" fillId="0" borderId="2" xfId="23" applyFont="true" applyBorder="true" applyAlignment="true" applyProtection="false">
      <alignment horizontal="left" vertical="top" textRotation="0" wrapText="true" indent="0" shrinkToFit="false"/>
      <protection locked="true" hidden="false"/>
    </xf>
    <xf numFmtId="164" fontId="13" fillId="2" borderId="3" xfId="23" applyFont="true" applyBorder="true" applyAlignment="true" applyProtection="false">
      <alignment horizontal="general" vertical="center" textRotation="0" wrapText="false" indent="0" shrinkToFit="false"/>
      <protection locked="true" hidden="false"/>
    </xf>
    <xf numFmtId="164" fontId="14" fillId="0" borderId="2" xfId="23" applyFont="true" applyBorder="true" applyAlignment="true" applyProtection="false">
      <alignment horizontal="left" vertical="top" textRotation="0" wrapText="true" indent="1" shrinkToFit="false"/>
      <protection locked="true" hidden="false"/>
    </xf>
    <xf numFmtId="164" fontId="13" fillId="0" borderId="0" xfId="23" applyFont="true" applyBorder="false" applyAlignment="false" applyProtection="false">
      <alignment horizontal="general" vertical="bottom" textRotation="0" wrapText="false" indent="0" shrinkToFit="false"/>
      <protection locked="true" hidden="false"/>
    </xf>
    <xf numFmtId="164" fontId="11" fillId="0" borderId="0" xfId="23" applyFont="true" applyBorder="false" applyAlignment="true" applyProtection="false">
      <alignment horizontal="left" vertical="bottom" textRotation="0" wrapText="false" indent="0" shrinkToFit="false"/>
      <protection locked="true" hidden="false"/>
    </xf>
    <xf numFmtId="164" fontId="10" fillId="0" borderId="0" xfId="23" applyFont="true" applyBorder="false" applyAlignment="true" applyProtection="false">
      <alignment horizontal="left" vertical="bottom" textRotation="0" wrapText="false" indent="1" shrinkToFit="false"/>
      <protection locked="true" hidden="false"/>
    </xf>
    <xf numFmtId="164" fontId="12" fillId="0" borderId="0" xfId="23" applyFont="true" applyBorder="false" applyAlignment="false" applyProtection="false">
      <alignment horizontal="general" vertical="bottom" textRotation="0" wrapText="false" indent="0" shrinkToFit="false"/>
      <protection locked="true" hidden="false"/>
    </xf>
    <xf numFmtId="164" fontId="13" fillId="0" borderId="0" xfId="23" applyFont="true" applyBorder="false" applyAlignment="true" applyProtection="false">
      <alignment horizontal="left" vertical="bottom" textRotation="0" wrapText="false" indent="0" shrinkToFit="false"/>
      <protection locked="true" hidden="false"/>
    </xf>
    <xf numFmtId="166" fontId="15" fillId="3" borderId="4" xfId="23" applyFont="true" applyBorder="true" applyAlignment="true" applyProtection="false">
      <alignment horizontal="center" vertical="center" textRotation="0" wrapText="false" indent="0" shrinkToFit="false"/>
      <protection locked="true" hidden="false"/>
    </xf>
    <xf numFmtId="164" fontId="15" fillId="3" borderId="5" xfId="23" applyFont="true" applyBorder="true" applyAlignment="true" applyProtection="false">
      <alignment horizontal="center" vertical="center" textRotation="0" wrapText="false" indent="0" shrinkToFit="false"/>
      <protection locked="true" hidden="false"/>
    </xf>
    <xf numFmtId="164" fontId="15" fillId="3" borderId="6" xfId="23" applyFont="true" applyBorder="true" applyAlignment="true" applyProtection="false">
      <alignment horizontal="center" vertical="center" textRotation="0" wrapText="false" indent="0" shrinkToFit="false"/>
      <protection locked="true" hidden="false"/>
    </xf>
    <xf numFmtId="164" fontId="7" fillId="0" borderId="0" xfId="23" applyFont="true" applyBorder="false" applyAlignment="true" applyProtection="false">
      <alignment horizontal="general" vertical="center" textRotation="0" wrapText="false" indent="0" shrinkToFit="false"/>
      <protection locked="true" hidden="false"/>
    </xf>
    <xf numFmtId="165" fontId="14" fillId="0" borderId="7" xfId="23" applyFont="true" applyBorder="true" applyAlignment="true" applyProtection="false">
      <alignment horizontal="left" vertical="top" textRotation="0" wrapText="true" indent="0" shrinkToFit="false"/>
      <protection locked="true" hidden="false"/>
    </xf>
    <xf numFmtId="167" fontId="12" fillId="0" borderId="8" xfId="23" applyFont="true" applyBorder="true" applyAlignment="true" applyProtection="false">
      <alignment horizontal="left" vertical="top" textRotation="0" wrapText="true" indent="0" shrinkToFit="false"/>
      <protection locked="true" hidden="false"/>
    </xf>
    <xf numFmtId="164" fontId="12" fillId="0" borderId="8" xfId="23" applyFont="true" applyBorder="true" applyAlignment="true" applyProtection="false">
      <alignment horizontal="left" vertical="top" textRotation="0" wrapText="true" indent="0" shrinkToFit="false"/>
      <protection locked="true" hidden="false"/>
    </xf>
    <xf numFmtId="168" fontId="12" fillId="0" borderId="8" xfId="23" applyFont="true" applyBorder="true" applyAlignment="true" applyProtection="false">
      <alignment horizontal="left" vertical="top" textRotation="0" wrapText="true" indent="0" shrinkToFit="false"/>
      <protection locked="true" hidden="false"/>
    </xf>
    <xf numFmtId="164" fontId="14" fillId="0" borderId="9" xfId="23" applyFont="true" applyBorder="true" applyAlignment="true" applyProtection="false">
      <alignment horizontal="left" vertical="top" textRotation="0" wrapText="true" indent="0" shrinkToFit="false"/>
      <protection locked="true" hidden="false"/>
    </xf>
    <xf numFmtId="164" fontId="7" fillId="0" borderId="0" xfId="23" applyFont="true" applyBorder="false" applyAlignment="true" applyProtection="false">
      <alignment horizontal="general" vertical="top" textRotation="0" wrapText="false" indent="0" shrinkToFit="false"/>
      <protection locked="true" hidden="false"/>
    </xf>
    <xf numFmtId="166" fontId="12" fillId="0" borderId="7" xfId="23" applyFont="true" applyBorder="true" applyAlignment="true" applyProtection="false">
      <alignment horizontal="general" vertical="top" textRotation="0" wrapText="false" indent="0" shrinkToFit="false"/>
      <protection locked="true" hidden="false"/>
    </xf>
    <xf numFmtId="167" fontId="12" fillId="0" borderId="8" xfId="23" applyFont="true" applyBorder="true" applyAlignment="true" applyProtection="false">
      <alignment horizontal="general" vertical="top" textRotation="0" wrapText="false" indent="0" shrinkToFit="false"/>
      <protection locked="true" hidden="false"/>
    </xf>
    <xf numFmtId="164" fontId="12" fillId="0" borderId="8" xfId="23" applyFont="true" applyBorder="true" applyAlignment="true" applyProtection="false">
      <alignment horizontal="general" vertical="top" textRotation="0" wrapText="false" indent="0" shrinkToFit="false"/>
      <protection locked="true" hidden="false"/>
    </xf>
    <xf numFmtId="164" fontId="12" fillId="0" borderId="9" xfId="23" applyFont="true" applyBorder="true" applyAlignment="true" applyProtection="false">
      <alignment horizontal="general" vertical="top" textRotation="0" wrapText="false" indent="0" shrinkToFit="false"/>
      <protection locked="true" hidden="false"/>
    </xf>
    <xf numFmtId="166" fontId="12" fillId="0" borderId="10" xfId="23" applyFont="true" applyBorder="true" applyAlignment="true" applyProtection="false">
      <alignment horizontal="general" vertical="top" textRotation="0" wrapText="false" indent="0" shrinkToFit="false"/>
      <protection locked="true" hidden="false"/>
    </xf>
    <xf numFmtId="167" fontId="12" fillId="0" borderId="11" xfId="23" applyFont="true" applyBorder="true" applyAlignment="true" applyProtection="false">
      <alignment horizontal="general" vertical="top" textRotation="0" wrapText="false" indent="0" shrinkToFit="false"/>
      <protection locked="true" hidden="false"/>
    </xf>
    <xf numFmtId="164" fontId="12" fillId="0" borderId="11" xfId="23" applyFont="true" applyBorder="true" applyAlignment="true" applyProtection="false">
      <alignment horizontal="general" vertical="top" textRotation="0" wrapText="false" indent="0" shrinkToFit="false"/>
      <protection locked="true" hidden="false"/>
    </xf>
    <xf numFmtId="164" fontId="12" fillId="0" borderId="12" xfId="23"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9" fontId="7"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9" fontId="12" fillId="2" borderId="0" xfId="0" applyFont="true" applyBorder="false" applyAlignment="false" applyProtection="true">
      <alignment horizontal="general" vertical="bottom" textRotation="0" wrapText="false" indent="0" shrinkToFit="false"/>
      <protection locked="true" hidden="true"/>
    </xf>
    <xf numFmtId="164" fontId="9" fillId="2" borderId="0" xfId="0" applyFont="true" applyBorder="false" applyAlignment="true" applyProtection="false">
      <alignment horizontal="left" vertical="bottom" textRotation="0" wrapText="false" indent="0" shrinkToFit="false"/>
      <protection locked="true" hidden="false"/>
    </xf>
    <xf numFmtId="164" fontId="17" fillId="2" borderId="0" xfId="0" applyFont="true" applyBorder="false" applyAlignment="true" applyProtection="false">
      <alignment horizontal="left" vertical="bottom" textRotation="0" wrapText="false" indent="0" shrinkToFit="false"/>
      <protection locked="true" hidden="false"/>
    </xf>
    <xf numFmtId="164" fontId="18" fillId="2" borderId="0" xfId="0" applyFont="true" applyBorder="false" applyAlignment="true" applyProtection="false">
      <alignment horizontal="left" vertical="bottom" textRotation="0" wrapText="false" indent="0" shrinkToFit="false"/>
      <protection locked="true" hidden="false"/>
    </xf>
    <xf numFmtId="169" fontId="10" fillId="2" borderId="1" xfId="0" applyFont="true" applyBorder="true" applyAlignment="false" applyProtection="false">
      <alignment horizontal="general" vertical="bottom" textRotation="0" wrapText="false" indent="0" shrinkToFit="false"/>
      <protection locked="true" hidden="false"/>
    </xf>
    <xf numFmtId="164" fontId="11" fillId="2" borderId="3" xfId="0" applyFont="true" applyBorder="tru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9" fontId="10" fillId="2" borderId="3" xfId="0" applyFont="true" applyBorder="true" applyAlignment="true" applyProtection="false">
      <alignment horizontal="general" vertical="center" textRotation="0" wrapText="true" indent="0" shrinkToFit="false"/>
      <protection locked="true" hidden="false"/>
    </xf>
    <xf numFmtId="169" fontId="10" fillId="2"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9" fontId="12" fillId="2" borderId="0" xfId="0" applyFont="true" applyBorder="false" applyAlignment="true" applyProtection="true">
      <alignment horizontal="general" vertical="center" textRotation="0" wrapText="false" indent="0" shrinkToFit="false"/>
      <protection locked="true" hidden="true"/>
    </xf>
    <xf numFmtId="164" fontId="12" fillId="2" borderId="0" xfId="0" applyFont="true" applyBorder="false" applyAlignment="true" applyProtection="false">
      <alignment horizontal="left" vertical="center" textRotation="0" wrapText="false" indent="0" shrinkToFit="false"/>
      <protection locked="true" hidden="false"/>
    </xf>
    <xf numFmtId="164" fontId="19" fillId="2" borderId="0" xfId="0" applyFont="true" applyBorder="false" applyAlignment="true" applyProtection="false">
      <alignment horizontal="center" vertical="bottom" textRotation="0" wrapText="false" indent="0" shrinkToFit="false"/>
      <protection locked="true" hidden="false"/>
    </xf>
    <xf numFmtId="169" fontId="15" fillId="4" borderId="4" xfId="0" applyFont="true" applyBorder="true" applyAlignment="true" applyProtection="false">
      <alignment horizontal="center" vertical="center" textRotation="0" wrapText="false" indent="0" shrinkToFit="false"/>
      <protection locked="true" hidden="false"/>
    </xf>
    <xf numFmtId="164" fontId="15" fillId="4" borderId="5" xfId="0" applyFont="true" applyBorder="true" applyAlignment="true" applyProtection="false">
      <alignment horizontal="center" vertical="center" textRotation="0" wrapText="false" indent="0" shrinkToFit="false"/>
      <protection locked="true" hidden="false"/>
    </xf>
    <xf numFmtId="164" fontId="15" fillId="4" borderId="13" xfId="0" applyFont="true" applyBorder="true" applyAlignment="true" applyProtection="false">
      <alignment horizontal="center" vertical="center" textRotation="0" wrapText="false" indent="0" shrinkToFit="false"/>
      <protection locked="true" hidden="false"/>
    </xf>
    <xf numFmtId="164" fontId="15" fillId="4" borderId="6" xfId="0" applyFont="true" applyBorder="true" applyAlignment="true" applyProtection="false">
      <alignment horizontal="center" vertical="center" textRotation="0" wrapText="false" indent="0" shrinkToFit="false"/>
      <protection locked="true" hidden="false"/>
    </xf>
    <xf numFmtId="169" fontId="12" fillId="2" borderId="7" xfId="0" applyFont="true" applyBorder="true" applyAlignment="true" applyProtection="false">
      <alignment horizontal="center" vertical="center" textRotation="0" wrapText="true" indent="0" shrinkToFit="false"/>
      <protection locked="true" hidden="false"/>
    </xf>
    <xf numFmtId="167" fontId="12" fillId="2" borderId="8" xfId="0" applyFont="true" applyBorder="true" applyAlignment="true" applyProtection="false">
      <alignment horizontal="left" vertical="top" textRotation="0" wrapText="true" indent="0" shrinkToFit="false"/>
      <protection locked="true" hidden="false"/>
    </xf>
    <xf numFmtId="164" fontId="20" fillId="2" borderId="8" xfId="20" applyFont="true" applyBorder="true" applyAlignment="true" applyProtection="false">
      <alignment horizontal="left" vertical="top" textRotation="0" wrapText="true" indent="0" shrinkToFit="false"/>
      <protection locked="true" hidden="false"/>
    </xf>
    <xf numFmtId="164" fontId="22" fillId="2" borderId="8" xfId="20" applyFont="true" applyBorder="true" applyAlignment="true" applyProtection="false">
      <alignment horizontal="left" vertical="top" textRotation="0" wrapText="true" indent="0" shrinkToFit="false"/>
      <protection locked="true" hidden="false"/>
    </xf>
    <xf numFmtId="164" fontId="12" fillId="2" borderId="9" xfId="0" applyFont="true" applyBorder="true" applyAlignment="true" applyProtection="false">
      <alignment horizontal="left" vertical="top" textRotation="0" wrapText="true" indent="0" shrinkToFit="false"/>
      <protection locked="true" hidden="false"/>
    </xf>
    <xf numFmtId="164" fontId="9" fillId="2" borderId="0" xfId="21" applyFont="true" applyBorder="true" applyAlignment="true" applyProtection="false">
      <alignment horizontal="center" vertical="bottom" textRotation="0" wrapText="false" indent="0" shrinkToFit="false"/>
      <protection locked="true" hidden="false"/>
    </xf>
    <xf numFmtId="164" fontId="13" fillId="2" borderId="0" xfId="21" applyFont="true" applyBorder="false" applyAlignment="false" applyProtection="false">
      <alignment horizontal="general" vertical="bottom" textRotation="0" wrapText="false" indent="0" shrinkToFit="false"/>
      <protection locked="true" hidden="false"/>
    </xf>
    <xf numFmtId="164" fontId="12" fillId="2" borderId="0" xfId="21" applyFont="true" applyBorder="false" applyAlignment="false" applyProtection="false">
      <alignment horizontal="general" vertical="bottom" textRotation="0" wrapText="false" indent="0" shrinkToFit="false"/>
      <protection locked="true" hidden="false"/>
    </xf>
    <xf numFmtId="166" fontId="12" fillId="2" borderId="0" xfId="21" applyFont="true" applyBorder="false" applyAlignment="false" applyProtection="false">
      <alignment horizontal="general" vertical="bottom" textRotation="0" wrapText="false" indent="0" shrinkToFit="false"/>
      <protection locked="true" hidden="false"/>
    </xf>
    <xf numFmtId="164" fontId="10" fillId="2" borderId="3" xfId="0" applyFont="true" applyBorder="true" applyAlignment="true" applyProtection="false">
      <alignment horizontal="left" vertical="center" textRotation="0" wrapText="false" indent="0" shrinkToFit="false"/>
      <protection locked="true" hidden="false"/>
    </xf>
    <xf numFmtId="164" fontId="10" fillId="2" borderId="3" xfId="0" applyFont="true" applyBorder="true" applyAlignment="true" applyProtection="false">
      <alignment horizontal="left" vertical="top" textRotation="0" wrapText="true" indent="0" shrinkToFit="false"/>
      <protection locked="true" hidden="false"/>
    </xf>
    <xf numFmtId="164" fontId="10" fillId="2" borderId="2" xfId="0" applyFont="true" applyBorder="true" applyAlignment="true" applyProtection="false">
      <alignment horizontal="left" vertical="bottom" textRotation="0" wrapText="false" indent="0" shrinkToFit="false"/>
      <protection locked="true" hidden="false"/>
    </xf>
    <xf numFmtId="164" fontId="12" fillId="2" borderId="2" xfId="0" applyFont="true" applyBorder="true" applyAlignment="true" applyProtection="false">
      <alignment horizontal="general" vertical="top" textRotation="0" wrapText="false" indent="0" shrinkToFit="false"/>
      <protection locked="true" hidden="false"/>
    </xf>
    <xf numFmtId="164" fontId="10" fillId="2" borderId="3" xfId="0" applyFont="true" applyBorder="true" applyAlignment="true" applyProtection="false">
      <alignment horizontal="general" vertical="center" textRotation="0" wrapText="false" indent="0" shrinkToFit="false"/>
      <protection locked="true" hidden="false"/>
    </xf>
    <xf numFmtId="164" fontId="10" fillId="2" borderId="3" xfId="0" applyFont="true" applyBorder="true" applyAlignment="true" applyProtection="false">
      <alignment horizontal="left" vertical="bottom" textRotation="0" wrapText="false" indent="0" shrinkToFit="false"/>
      <protection locked="true" hidden="false"/>
    </xf>
    <xf numFmtId="165" fontId="11" fillId="2" borderId="2" xfId="0" applyFont="true" applyBorder="true" applyAlignment="true" applyProtection="false">
      <alignment horizontal="left" vertical="top" textRotation="0" wrapText="true" indent="0" shrinkToFit="false"/>
      <protection locked="true" hidden="false"/>
    </xf>
    <xf numFmtId="164" fontId="11" fillId="2" borderId="3" xfId="21" applyFont="true" applyBorder="true" applyAlignment="true" applyProtection="false">
      <alignment horizontal="left" vertical="top"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2" borderId="0" xfId="21" applyFont="true" applyBorder="false" applyAlignment="false" applyProtection="false">
      <alignment horizontal="general" vertical="bottom" textRotation="0" wrapText="false" indent="0" shrinkToFit="false"/>
      <protection locked="true" hidden="false"/>
    </xf>
    <xf numFmtId="164" fontId="12" fillId="2" borderId="14" xfId="0" applyFont="true" applyBorder="true" applyAlignment="false" applyProtection="false">
      <alignment horizontal="general" vertical="bottom" textRotation="0" wrapText="false" indent="0" shrinkToFit="false"/>
      <protection locked="true" hidden="false"/>
    </xf>
    <xf numFmtId="164" fontId="15" fillId="3" borderId="15" xfId="0" applyFont="true" applyBorder="true" applyAlignment="true" applyProtection="false">
      <alignment horizontal="center" vertical="bottom" textRotation="0" wrapText="false" indent="0" shrinkToFit="false"/>
      <protection locked="true" hidden="false"/>
    </xf>
    <xf numFmtId="164" fontId="15" fillId="3" borderId="5" xfId="0" applyFont="true" applyBorder="true" applyAlignment="true" applyProtection="false">
      <alignment horizontal="center" vertical="bottom" textRotation="0" wrapText="false" indent="0" shrinkToFit="false"/>
      <protection locked="true" hidden="false"/>
    </xf>
    <xf numFmtId="164" fontId="15" fillId="3" borderId="5" xfId="0" applyFont="true" applyBorder="true" applyAlignment="true" applyProtection="false">
      <alignment horizontal="center" vertical="bottom" textRotation="0" wrapText="true" indent="0" shrinkToFit="false"/>
      <protection locked="true" hidden="false"/>
    </xf>
    <xf numFmtId="164" fontId="15" fillId="3" borderId="13" xfId="0" applyFont="true" applyBorder="true" applyAlignment="true" applyProtection="false">
      <alignment horizontal="center" vertical="top" textRotation="0" wrapText="true" indent="0" shrinkToFit="false"/>
      <protection locked="true" hidden="false"/>
    </xf>
    <xf numFmtId="164" fontId="15" fillId="3" borderId="16" xfId="0" applyFont="true" applyBorder="true" applyAlignment="true" applyProtection="false">
      <alignment horizontal="center" vertical="bottom" textRotation="0" wrapText="true" indent="0" shrinkToFit="false"/>
      <protection locked="true" hidden="false"/>
    </xf>
    <xf numFmtId="164" fontId="12" fillId="2" borderId="17" xfId="0" applyFont="true" applyBorder="true" applyAlignment="true" applyProtection="false">
      <alignment horizontal="center" vertical="bottom" textRotation="0" wrapText="false" indent="0" shrinkToFit="false"/>
      <protection locked="true" hidden="false"/>
    </xf>
    <xf numFmtId="164" fontId="12" fillId="2" borderId="8" xfId="0" applyFont="true" applyBorder="true" applyAlignment="true" applyProtection="false">
      <alignment horizontal="left" vertical="top" textRotation="0" wrapText="true" indent="0" shrinkToFit="false"/>
      <protection locked="true" hidden="false"/>
    </xf>
    <xf numFmtId="164" fontId="12" fillId="2" borderId="8" xfId="0" applyFont="true" applyBorder="true" applyAlignment="true" applyProtection="false">
      <alignment horizontal="center" vertical="bottom" textRotation="0" wrapText="false" indent="0" shrinkToFit="false"/>
      <protection locked="true" hidden="false"/>
    </xf>
    <xf numFmtId="164" fontId="12" fillId="2" borderId="18" xfId="0" applyFont="true" applyBorder="true" applyAlignment="true" applyProtection="false">
      <alignment horizontal="center" vertical="bottom" textRotation="0" wrapText="false" indent="0" shrinkToFit="false"/>
      <protection locked="true" hidden="false"/>
    </xf>
    <xf numFmtId="164" fontId="12" fillId="2" borderId="8" xfId="0" applyFont="true" applyBorder="true" applyAlignment="false" applyProtection="false">
      <alignment horizontal="general" vertical="bottom" textRotation="0" wrapText="false" indent="0" shrinkToFit="false"/>
      <protection locked="true" hidden="false"/>
    </xf>
    <xf numFmtId="164" fontId="12" fillId="2" borderId="19" xfId="0" applyFont="true" applyBorder="true" applyAlignment="true" applyProtection="false">
      <alignment horizontal="center" vertical="bottom" textRotation="0" wrapText="false" indent="0" shrinkToFit="false"/>
      <protection locked="true" hidden="false"/>
    </xf>
    <xf numFmtId="164" fontId="23" fillId="3" borderId="20" xfId="0" applyFont="true" applyBorder="true" applyAlignment="true" applyProtection="false">
      <alignment horizontal="center" vertical="bottom" textRotation="0" wrapText="false" indent="0" shrinkToFit="false"/>
      <protection locked="true" hidden="false"/>
    </xf>
    <xf numFmtId="164" fontId="15" fillId="3" borderId="11" xfId="0" applyFont="true" applyBorder="true" applyAlignment="false" applyProtection="false">
      <alignment horizontal="general" vertical="bottom" textRotation="0" wrapText="false" indent="0" shrinkToFit="false"/>
      <protection locked="true" hidden="false"/>
    </xf>
    <xf numFmtId="164" fontId="23" fillId="3" borderId="11" xfId="0" applyFont="true" applyBorder="true" applyAlignment="true" applyProtection="false">
      <alignment horizontal="center" vertical="bottom" textRotation="0" wrapText="false" indent="0" shrinkToFit="false"/>
      <protection locked="true" hidden="false"/>
    </xf>
    <xf numFmtId="164" fontId="23" fillId="3" borderId="21" xfId="0" applyFont="true" applyBorder="true" applyAlignment="true" applyProtection="false">
      <alignment horizontal="center" vertical="bottom" textRotation="0" wrapText="false" indent="0" shrinkToFit="false"/>
      <protection locked="true" hidden="false"/>
    </xf>
    <xf numFmtId="164" fontId="12" fillId="2" borderId="0" xfId="0" applyFont="true" applyBorder="false" applyAlignment="true" applyProtection="false">
      <alignment horizontal="center" vertical="bottom" textRotation="0" wrapText="false" indent="0" shrinkToFit="false"/>
      <protection locked="true" hidden="false"/>
    </xf>
    <xf numFmtId="170" fontId="12" fillId="2" borderId="0" xfId="0" applyFont="true" applyBorder="false" applyAlignment="true" applyProtection="false">
      <alignment horizontal="center" vertical="bottom" textRotation="0" wrapText="false" indent="0" shrinkToFit="false"/>
      <protection locked="true" hidden="false"/>
    </xf>
    <xf numFmtId="171" fontId="12" fillId="2" borderId="0" xfId="0" applyFont="true" applyBorder="false" applyAlignment="true" applyProtection="false">
      <alignment horizontal="center" vertical="bottom" textRotation="0" wrapText="false" indent="0" shrinkToFit="false"/>
      <protection locked="true" hidden="false"/>
    </xf>
    <xf numFmtId="164" fontId="10" fillId="2" borderId="0" xfId="0" applyFont="true" applyBorder="false" applyAlignment="true" applyProtection="false">
      <alignment horizontal="left" vertical="top" textRotation="0" wrapText="true" indent="0" shrinkToFit="false"/>
      <protection locked="true" hidden="false"/>
    </xf>
    <xf numFmtId="170" fontId="24" fillId="2" borderId="0" xfId="0" applyFont="true" applyBorder="false" applyAlignment="true" applyProtection="false">
      <alignment horizontal="right" vertical="top" textRotation="0" wrapText="true" indent="0" shrinkToFit="false"/>
      <protection locked="true" hidden="false"/>
    </xf>
    <xf numFmtId="164" fontId="12" fillId="2" borderId="0" xfId="0" applyFont="true" applyBorder="false" applyAlignment="true" applyProtection="false">
      <alignment horizontal="left" vertical="top" textRotation="0" wrapText="true" indent="0" shrinkToFit="false"/>
      <protection locked="true" hidden="false"/>
    </xf>
    <xf numFmtId="164" fontId="22" fillId="2" borderId="0" xfId="0" applyFont="true" applyBorder="false" applyAlignment="true" applyProtection="false">
      <alignment horizontal="center" vertical="bottom" textRotation="0" wrapText="true" indent="0" shrinkToFit="false"/>
      <protection locked="true" hidden="false"/>
    </xf>
    <xf numFmtId="164" fontId="25" fillId="5" borderId="2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left" vertical="top" textRotation="0" wrapText="true" indent="0" shrinkToFit="false"/>
      <protection locked="true" hidden="false"/>
    </xf>
    <xf numFmtId="170" fontId="12" fillId="2" borderId="0" xfId="0" applyFont="true" applyBorder="false" applyAlignment="true" applyProtection="false">
      <alignment horizontal="center" vertical="center" textRotation="0" wrapText="true" indent="0" shrinkToFit="false"/>
      <protection locked="true" hidden="false"/>
    </xf>
    <xf numFmtId="164" fontId="26" fillId="2" borderId="0" xfId="0" applyFont="true" applyBorder="false" applyAlignment="false" applyProtection="false">
      <alignment horizontal="general" vertical="bottom" textRotation="0" wrapText="false" indent="0" shrinkToFit="false"/>
      <protection locked="true" hidden="false"/>
    </xf>
    <xf numFmtId="164" fontId="13" fillId="2" borderId="23" xfId="22" applyFont="true" applyBorder="true" applyAlignment="true" applyProtection="false">
      <alignment horizontal="center" vertical="top" textRotation="0" wrapText="true" indent="0" shrinkToFit="false"/>
      <protection locked="true" hidden="false"/>
    </xf>
    <xf numFmtId="164" fontId="12" fillId="2" borderId="24" xfId="22" applyFont="true" applyBorder="true" applyAlignment="true" applyProtection="false">
      <alignment horizontal="left" vertical="top" textRotation="0" wrapText="true" indent="0" shrinkToFit="false"/>
      <protection locked="true" hidden="false"/>
    </xf>
    <xf numFmtId="164" fontId="11" fillId="2" borderId="0" xfId="22" applyFont="true" applyBorder="false" applyAlignment="true" applyProtection="false">
      <alignment horizontal="general" vertical="bottom" textRotation="0" wrapText="true" indent="0" shrinkToFit="false"/>
      <protection locked="true" hidden="false"/>
    </xf>
    <xf numFmtId="164" fontId="11" fillId="2" borderId="0" xfId="22" applyFont="true" applyBorder="false" applyAlignment="true" applyProtection="false">
      <alignment horizontal="left" vertical="bottom" textRotation="0" wrapText="true" indent="0" shrinkToFit="false"/>
      <protection locked="true" hidden="false"/>
    </xf>
    <xf numFmtId="164" fontId="12" fillId="2" borderId="0" xfId="0" applyFont="true" applyBorder="false" applyAlignment="true" applyProtection="false">
      <alignment horizontal="general" vertical="bottom" textRotation="0" wrapText="true" indent="0" shrinkToFit="false"/>
      <protection locked="true" hidden="false"/>
    </xf>
    <xf numFmtId="164" fontId="27" fillId="2" borderId="0" xfId="0" applyFont="true" applyBorder="false" applyAlignment="true" applyProtection="false">
      <alignment horizontal="general" vertical="bottom" textRotation="0" wrapText="tru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xf numFmtId="164" fontId="28" fillId="2" borderId="0" xfId="0" applyFont="true" applyBorder="false" applyAlignment="false" applyProtection="false">
      <alignment horizontal="general" vertical="bottom" textRotation="0" wrapText="false" indent="0" shrinkToFit="false"/>
      <protection locked="true" hidden="false"/>
    </xf>
    <xf numFmtId="164" fontId="13" fillId="2" borderId="25" xfId="22" applyFont="true" applyBorder="true" applyAlignment="true" applyProtection="false">
      <alignment horizontal="center" vertical="top" textRotation="0" wrapText="true" indent="0" shrinkToFit="false"/>
      <protection locked="true" hidden="false"/>
    </xf>
    <xf numFmtId="164" fontId="12" fillId="2" borderId="3" xfId="22" applyFont="true" applyBorder="true" applyAlignment="true" applyProtection="false">
      <alignment horizontal="left" vertical="top" textRotation="0" wrapText="true" indent="0" shrinkToFit="false"/>
      <protection locked="true" hidden="false"/>
    </xf>
    <xf numFmtId="164" fontId="29" fillId="2" borderId="25" xfId="22" applyFont="true" applyBorder="true" applyAlignment="true" applyProtection="false">
      <alignment horizontal="center" vertical="top" textRotation="0" wrapText="true" indent="0" shrinkToFit="false"/>
      <protection locked="true" hidden="false"/>
    </xf>
    <xf numFmtId="164" fontId="29" fillId="2" borderId="3" xfId="22" applyFont="true" applyBorder="true" applyAlignment="true" applyProtection="false">
      <alignment horizontal="center" vertical="center" textRotation="0" wrapText="true" indent="0" shrinkToFit="false"/>
      <protection locked="true" hidden="false"/>
    </xf>
    <xf numFmtId="164" fontId="29" fillId="2" borderId="26" xfId="22" applyFont="true" applyBorder="true" applyAlignment="true" applyProtection="false">
      <alignment horizontal="center" vertical="center" textRotation="0" wrapText="true" indent="0" shrinkToFit="false"/>
      <protection locked="true" hidden="false"/>
    </xf>
    <xf numFmtId="164" fontId="17" fillId="2" borderId="0" xfId="0" applyFont="true" applyBorder="false" applyAlignment="true" applyProtection="false">
      <alignment horizontal="center" vertical="center" textRotation="0" wrapText="true" indent="0" shrinkToFit="false"/>
      <protection locked="true" hidden="false"/>
    </xf>
    <xf numFmtId="164" fontId="12" fillId="2" borderId="0" xfId="0" applyFont="true" applyBorder="false" applyAlignment="true" applyProtection="false">
      <alignment horizontal="center" vertical="bottom" textRotation="0" wrapText="true" indent="0" shrinkToFit="false"/>
      <protection locked="true" hidden="false"/>
    </xf>
    <xf numFmtId="164" fontId="27" fillId="2" borderId="0" xfId="0" applyFont="true" applyBorder="false" applyAlignment="true" applyProtection="false">
      <alignment horizontal="center" vertical="bottom" textRotation="0" wrapText="true" indent="0" shrinkToFit="false"/>
      <protection locked="true" hidden="false"/>
    </xf>
    <xf numFmtId="164" fontId="12" fillId="2" borderId="3" xfId="22" applyFont="true" applyBorder="true" applyAlignment="true" applyProtection="false">
      <alignment horizontal="center" vertical="top" textRotation="0" wrapText="true" indent="0" shrinkToFit="false"/>
      <protection locked="true" hidden="false"/>
    </xf>
    <xf numFmtId="164" fontId="12" fillId="2" borderId="26" xfId="22" applyFont="true" applyBorder="true" applyAlignment="true" applyProtection="false">
      <alignment horizontal="center" vertical="top" textRotation="0" wrapText="true" indent="0" shrinkToFit="false"/>
      <protection locked="true" hidden="false"/>
    </xf>
    <xf numFmtId="164" fontId="22" fillId="2" borderId="0" xfId="0" applyFont="true" applyBorder="false" applyAlignment="true" applyProtection="false">
      <alignment horizontal="center" vertical="center" textRotation="0" wrapText="true" indent="0" shrinkToFit="false"/>
      <protection locked="true" hidden="false"/>
    </xf>
    <xf numFmtId="164" fontId="29" fillId="2" borderId="27" xfId="22" applyFont="true" applyBorder="true" applyAlignment="true" applyProtection="false">
      <alignment horizontal="center" vertical="top" textRotation="0" wrapText="true" indent="0" shrinkToFit="false"/>
      <protection locked="true" hidden="false"/>
    </xf>
    <xf numFmtId="164" fontId="12" fillId="2" borderId="28" xfId="22" applyFont="true" applyBorder="true" applyAlignment="true" applyProtection="false">
      <alignment horizontal="center" vertical="top" textRotation="0" wrapText="true" indent="0" shrinkToFit="false"/>
      <protection locked="true" hidden="false"/>
    </xf>
    <xf numFmtId="164" fontId="12" fillId="2" borderId="29" xfId="22" applyFont="true" applyBorder="true" applyAlignment="true" applyProtection="false">
      <alignment horizontal="center" vertical="top" textRotation="0" wrapText="true" indent="0" shrinkToFit="false"/>
      <protection locked="true" hidden="false"/>
    </xf>
    <xf numFmtId="164" fontId="15" fillId="6" borderId="3" xfId="22" applyFont="true" applyBorder="true" applyAlignment="true" applyProtection="false">
      <alignment horizontal="center" vertical="center" textRotation="0" wrapText="true" indent="0" shrinkToFit="false"/>
      <protection locked="true" hidden="false"/>
    </xf>
    <xf numFmtId="164" fontId="18" fillId="2" borderId="0" xfId="22" applyFont="true" applyBorder="false" applyAlignment="true" applyProtection="false">
      <alignment horizontal="center" vertical="center" textRotation="0" wrapText="true" indent="0" shrinkToFit="false"/>
      <protection locked="true" hidden="false"/>
    </xf>
    <xf numFmtId="164" fontId="13" fillId="7" borderId="30" xfId="22" applyFont="true" applyBorder="true" applyAlignment="true" applyProtection="false">
      <alignment horizontal="left" vertical="top" textRotation="0" wrapText="true" indent="0" shrinkToFit="false"/>
      <protection locked="true" hidden="false"/>
    </xf>
    <xf numFmtId="164" fontId="13" fillId="7" borderId="30" xfId="22" applyFont="true" applyBorder="true" applyAlignment="true" applyProtection="false">
      <alignment horizontal="left" vertical="center" textRotation="0" wrapText="false" indent="0" shrinkToFit="false"/>
      <protection locked="true" hidden="false"/>
    </xf>
    <xf numFmtId="164" fontId="13" fillId="7" borderId="31" xfId="22" applyFont="true" applyBorder="true" applyAlignment="true" applyProtection="false">
      <alignment horizontal="left" vertical="center" textRotation="0" wrapText="false" indent="0" shrinkToFit="false"/>
      <protection locked="true" hidden="false"/>
    </xf>
    <xf numFmtId="164" fontId="13" fillId="7" borderId="32" xfId="22" applyFont="true" applyBorder="true" applyAlignment="true" applyProtection="false">
      <alignment horizontal="left" vertical="center" textRotation="0" wrapText="false" indent="0" shrinkToFit="false"/>
      <protection locked="true" hidden="false"/>
    </xf>
    <xf numFmtId="164" fontId="18" fillId="2" borderId="0" xfId="22" applyFont="true" applyBorder="false" applyAlignment="true" applyProtection="false">
      <alignment horizontal="left" vertical="center" textRotation="0" wrapText="false" indent="0" shrinkToFit="false"/>
      <protection locked="true" hidden="false"/>
    </xf>
    <xf numFmtId="164" fontId="12" fillId="2" borderId="3" xfId="22" applyFont="true" applyBorder="true" applyAlignment="true" applyProtection="false">
      <alignment horizontal="center" vertical="center" textRotation="0" wrapText="true" indent="0" shrinkToFit="false"/>
      <protection locked="true" hidden="false"/>
    </xf>
    <xf numFmtId="164" fontId="11" fillId="2" borderId="3" xfId="22" applyFont="true" applyBorder="true" applyAlignment="true" applyProtection="false">
      <alignment horizontal="left" vertical="top" textRotation="0" wrapText="true" indent="0" shrinkToFit="false"/>
      <protection locked="true" hidden="false"/>
    </xf>
    <xf numFmtId="164" fontId="12" fillId="2" borderId="3" xfId="0" applyFont="true" applyBorder="true" applyAlignment="true" applyProtection="false">
      <alignment horizontal="left" vertical="top" textRotation="0" wrapText="true" indent="0" shrinkToFit="false"/>
      <protection locked="true" hidden="false"/>
    </xf>
    <xf numFmtId="164" fontId="28" fillId="2" borderId="0" xfId="0" applyFont="true" applyBorder="false" applyAlignment="true" applyProtection="false">
      <alignment horizontal="general" vertical="top" textRotation="0" wrapText="false" indent="0" shrinkToFit="false"/>
      <protection locked="true" hidden="false"/>
    </xf>
    <xf numFmtId="164" fontId="27" fillId="2" borderId="0" xfId="0" applyFont="true" applyBorder="false" applyAlignment="true" applyProtection="false">
      <alignment horizontal="general" vertical="top" textRotation="0" wrapText="true" indent="0" shrinkToFit="false"/>
      <protection locked="true" hidden="false"/>
    </xf>
    <xf numFmtId="164" fontId="22" fillId="2" borderId="3" xfId="0" applyFont="true" applyBorder="true" applyAlignment="true" applyProtection="false">
      <alignment horizontal="left" vertical="top" textRotation="0" wrapText="true" indent="0" shrinkToFit="false"/>
      <protection locked="true" hidden="false"/>
    </xf>
    <xf numFmtId="164" fontId="13" fillId="7" borderId="30" xfId="22" applyFont="true" applyBorder="true" applyAlignment="true" applyProtection="false">
      <alignment horizontal="center" vertical="center" textRotation="0" wrapText="true" indent="0" shrinkToFit="false"/>
      <protection locked="true" hidden="false"/>
    </xf>
    <xf numFmtId="164" fontId="13" fillId="7" borderId="1" xfId="22" applyFont="true" applyBorder="true" applyAlignment="true" applyProtection="false">
      <alignment horizontal="left" vertical="top" textRotation="0" wrapText="true" indent="0" shrinkToFit="false"/>
      <protection locked="true" hidden="false"/>
    </xf>
    <xf numFmtId="164" fontId="13" fillId="7" borderId="33" xfId="22" applyFont="true" applyBorder="true" applyAlignment="true" applyProtection="false">
      <alignment horizontal="left" vertical="top" textRotation="0" wrapText="true" indent="0" shrinkToFit="false"/>
      <protection locked="true" hidden="false"/>
    </xf>
    <xf numFmtId="164" fontId="13" fillId="7" borderId="33" xfId="22" applyFont="true" applyBorder="true" applyAlignment="true" applyProtection="false">
      <alignment horizontal="center" vertical="center" textRotation="0" wrapText="true" indent="0" shrinkToFit="false"/>
      <protection locked="true" hidden="false"/>
    </xf>
    <xf numFmtId="164" fontId="13" fillId="7" borderId="2" xfId="22" applyFont="true" applyBorder="true" applyAlignment="true" applyProtection="false">
      <alignment horizontal="left" vertical="top" textRotation="0" wrapText="true" indent="0" shrinkToFit="false"/>
      <protection locked="true" hidden="false"/>
    </xf>
    <xf numFmtId="164" fontId="12" fillId="2" borderId="3" xfId="0" applyFont="true" applyBorder="true" applyAlignment="true" applyProtection="false">
      <alignment horizontal="center" vertical="center" textRotation="0" wrapText="true" indent="0" shrinkToFit="false"/>
      <protection locked="true" hidden="false"/>
    </xf>
    <xf numFmtId="164" fontId="27" fillId="2" borderId="0" xfId="0" applyFont="true" applyBorder="false" applyAlignment="false" applyProtection="fals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_Functional Test Case v1.0" xfId="21"/>
    <cellStyle name="Normal_Sheet1" xfId="22"/>
    <cellStyle name="Normal_Template_UnitTest Case_v0.9" xfId="23"/>
    <cellStyle name="標準_結合試験(AllOvertheWorld)" xfId="24"/>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B5CAD"/>
      <rgbColor rgb="FFB7B7B7"/>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1</xdr:row>
      <xdr:rowOff>88920</xdr:rowOff>
    </xdr:from>
    <xdr:to>
      <xdr:col>2</xdr:col>
      <xdr:colOff>199800</xdr:colOff>
      <xdr:row>1</xdr:row>
      <xdr:rowOff>786960</xdr:rowOff>
    </xdr:to>
    <xdr:pic>
      <xdr:nvPicPr>
        <xdr:cNvPr id="1" name="Picture 1"/>
        <xdr:cNvPicPr/>
      </xdr:nvPicPr>
      <xdr:blipFill>
        <a:blip r:embed="rId1"/>
        <a:stretch/>
      </xdr:blipFill>
      <xdr:spPr>
        <a:xfrm>
          <a:off x="114480" y="250920"/>
          <a:ext cx="2133360" cy="698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sheet1.xml><?xml version="1.0" encoding="utf-8"?>
<worksheet xmlns="http://schemas.openxmlformats.org/spreadsheetml/2006/main" xmlns:ns1="http://schemas.openxmlformats.org/officeDocument/2006/relationships">
  <sheetPr filterMode="false">
    <pageSetUpPr fitToPage="true"/>
  </sheetPr>
  <dimension ref="A2: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4" activeCellId="0" sqref="C14"/>
    </sheetView>
  </sheetViews>
  <sheetFormatPr defaultColWidth="9.00390625" defaultRowHeight="12.75" customHeight="false" zeroHeight="false" outlineLevelRow="0" outlineLevelCol="0"/>
  <cols>
    <col collapsed="false" customWidth="true" hidden="false" outlineLevel="0" max="1" min="1" style="1" width="16.88"/>
    <col collapsed="false" customWidth="true" hidden="false" outlineLevel="0" max="2" min="2" style="2" width="10"/>
    <col collapsed="false" customWidth="true" hidden="false" outlineLevel="0" max="3" min="3" style="2" width="14.38"/>
    <col collapsed="false" customWidth="true" hidden="false" outlineLevel="0" max="4" min="4" style="2" width="8"/>
    <col collapsed="false" customWidth="true" hidden="false" outlineLevel="0" max="5" min="5" style="2" width="38"/>
    <col collapsed="false" customWidth="true" hidden="false" outlineLevel="0" max="6" min="6" style="2" width="48.12"/>
    <col collapsed="false" customWidth="false" hidden="false" outlineLevel="0" max="256" min="7" style="2" width="9"/>
    <col collapsed="false" customWidth="true" hidden="false" outlineLevel="0" max="257" min="257" style="2" width="28.12"/>
    <col collapsed="false" customWidth="true" hidden="false" outlineLevel="0" max="258" min="258" style="2" width="10"/>
    <col collapsed="false" customWidth="true" hidden="false" outlineLevel="0" max="259" min="259" style="2" width="14.38"/>
    <col collapsed="false" customWidth="true" hidden="false" outlineLevel="0" max="260" min="260" style="2" width="8"/>
    <col collapsed="false" customWidth="true" hidden="false" outlineLevel="0" max="261" min="261" style="2" width="38"/>
    <col collapsed="false" customWidth="true" hidden="false" outlineLevel="0" max="262" min="262" style="2" width="48.12"/>
    <col collapsed="false" customWidth="false" hidden="false" outlineLevel="0" max="512" min="263" style="2" width="9"/>
    <col collapsed="false" customWidth="true" hidden="false" outlineLevel="0" max="513" min="513" style="2" width="28.12"/>
    <col collapsed="false" customWidth="true" hidden="false" outlineLevel="0" max="514" min="514" style="2" width="10"/>
    <col collapsed="false" customWidth="true" hidden="false" outlineLevel="0" max="515" min="515" style="2" width="14.38"/>
    <col collapsed="false" customWidth="true" hidden="false" outlineLevel="0" max="516" min="516" style="2" width="8"/>
    <col collapsed="false" customWidth="true" hidden="false" outlineLevel="0" max="517" min="517" style="2" width="38"/>
    <col collapsed="false" customWidth="true" hidden="false" outlineLevel="0" max="518" min="518" style="2" width="48.12"/>
    <col collapsed="false" customWidth="false" hidden="false" outlineLevel="0" max="768" min="519" style="2" width="9"/>
    <col collapsed="false" customWidth="true" hidden="false" outlineLevel="0" max="769" min="769" style="2" width="28.12"/>
    <col collapsed="false" customWidth="true" hidden="false" outlineLevel="0" max="770" min="770" style="2" width="10"/>
    <col collapsed="false" customWidth="true" hidden="false" outlineLevel="0" max="771" min="771" style="2" width="14.38"/>
    <col collapsed="false" customWidth="true" hidden="false" outlineLevel="0" max="772" min="772" style="2" width="8"/>
    <col collapsed="false" customWidth="true" hidden="false" outlineLevel="0" max="773" min="773" style="2" width="38"/>
    <col collapsed="false" customWidth="true" hidden="false" outlineLevel="0" max="774" min="774" style="2" width="48.12"/>
    <col collapsed="false" customWidth="false" hidden="false" outlineLevel="0" max="1024" min="775" style="2" width="9"/>
    <col collapsed="false" customWidth="true" hidden="false" outlineLevel="0" max="1025" min="1025" style="2" width="28.12"/>
    <col collapsed="false" customWidth="true" hidden="false" outlineLevel="0" max="1026" min="1026" style="2" width="10"/>
    <col collapsed="false" customWidth="true" hidden="false" outlineLevel="0" max="1027" min="1027" style="2" width="14.38"/>
    <col collapsed="false" customWidth="true" hidden="false" outlineLevel="0" max="1028" min="1028" style="2" width="8"/>
    <col collapsed="false" customWidth="true" hidden="false" outlineLevel="0" max="1029" min="1029" style="2" width="38"/>
    <col collapsed="false" customWidth="true" hidden="false" outlineLevel="0" max="1030" min="1030" style="2" width="48.12"/>
    <col collapsed="false" customWidth="false" hidden="false" outlineLevel="0" max="1280" min="1031" style="2" width="9"/>
    <col collapsed="false" customWidth="true" hidden="false" outlineLevel="0" max="1281" min="1281" style="2" width="28.12"/>
    <col collapsed="false" customWidth="true" hidden="false" outlineLevel="0" max="1282" min="1282" style="2" width="10"/>
    <col collapsed="false" customWidth="true" hidden="false" outlineLevel="0" max="1283" min="1283" style="2" width="14.38"/>
    <col collapsed="false" customWidth="true" hidden="false" outlineLevel="0" max="1284" min="1284" style="2" width="8"/>
    <col collapsed="false" customWidth="true" hidden="false" outlineLevel="0" max="1285" min="1285" style="2" width="38"/>
    <col collapsed="false" customWidth="true" hidden="false" outlineLevel="0" max="1286" min="1286" style="2" width="48.12"/>
    <col collapsed="false" customWidth="false" hidden="false" outlineLevel="0" max="1536" min="1287" style="2" width="9"/>
    <col collapsed="false" customWidth="true" hidden="false" outlineLevel="0" max="1537" min="1537" style="2" width="28.12"/>
    <col collapsed="false" customWidth="true" hidden="false" outlineLevel="0" max="1538" min="1538" style="2" width="10"/>
    <col collapsed="false" customWidth="true" hidden="false" outlineLevel="0" max="1539" min="1539" style="2" width="14.38"/>
    <col collapsed="false" customWidth="true" hidden="false" outlineLevel="0" max="1540" min="1540" style="2" width="8"/>
    <col collapsed="false" customWidth="true" hidden="false" outlineLevel="0" max="1541" min="1541" style="2" width="38"/>
    <col collapsed="false" customWidth="true" hidden="false" outlineLevel="0" max="1542" min="1542" style="2" width="48.12"/>
    <col collapsed="false" customWidth="false" hidden="false" outlineLevel="0" max="1792" min="1543" style="2" width="9"/>
    <col collapsed="false" customWidth="true" hidden="false" outlineLevel="0" max="1793" min="1793" style="2" width="28.12"/>
    <col collapsed="false" customWidth="true" hidden="false" outlineLevel="0" max="1794" min="1794" style="2" width="10"/>
    <col collapsed="false" customWidth="true" hidden="false" outlineLevel="0" max="1795" min="1795" style="2" width="14.38"/>
    <col collapsed="false" customWidth="true" hidden="false" outlineLevel="0" max="1796" min="1796" style="2" width="8"/>
    <col collapsed="false" customWidth="true" hidden="false" outlineLevel="0" max="1797" min="1797" style="2" width="38"/>
    <col collapsed="false" customWidth="true" hidden="false" outlineLevel="0" max="1798" min="1798" style="2" width="48.12"/>
    <col collapsed="false" customWidth="false" hidden="false" outlineLevel="0" max="2048" min="1799" style="2" width="9"/>
    <col collapsed="false" customWidth="true" hidden="false" outlineLevel="0" max="2049" min="2049" style="2" width="28.12"/>
    <col collapsed="false" customWidth="true" hidden="false" outlineLevel="0" max="2050" min="2050" style="2" width="10"/>
    <col collapsed="false" customWidth="true" hidden="false" outlineLevel="0" max="2051" min="2051" style="2" width="14.38"/>
    <col collapsed="false" customWidth="true" hidden="false" outlineLevel="0" max="2052" min="2052" style="2" width="8"/>
    <col collapsed="false" customWidth="true" hidden="false" outlineLevel="0" max="2053" min="2053" style="2" width="38"/>
    <col collapsed="false" customWidth="true" hidden="false" outlineLevel="0" max="2054" min="2054" style="2" width="48.12"/>
    <col collapsed="false" customWidth="false" hidden="false" outlineLevel="0" max="2304" min="2055" style="2" width="9"/>
    <col collapsed="false" customWidth="true" hidden="false" outlineLevel="0" max="2305" min="2305" style="2" width="28.12"/>
    <col collapsed="false" customWidth="true" hidden="false" outlineLevel="0" max="2306" min="2306" style="2" width="10"/>
    <col collapsed="false" customWidth="true" hidden="false" outlineLevel="0" max="2307" min="2307" style="2" width="14.38"/>
    <col collapsed="false" customWidth="true" hidden="false" outlineLevel="0" max="2308" min="2308" style="2" width="8"/>
    <col collapsed="false" customWidth="true" hidden="false" outlineLevel="0" max="2309" min="2309" style="2" width="38"/>
    <col collapsed="false" customWidth="true" hidden="false" outlineLevel="0" max="2310" min="2310" style="2" width="48.12"/>
    <col collapsed="false" customWidth="false" hidden="false" outlineLevel="0" max="2560" min="2311" style="2" width="9"/>
    <col collapsed="false" customWidth="true" hidden="false" outlineLevel="0" max="2561" min="2561" style="2" width="28.12"/>
    <col collapsed="false" customWidth="true" hidden="false" outlineLevel="0" max="2562" min="2562" style="2" width="10"/>
    <col collapsed="false" customWidth="true" hidden="false" outlineLevel="0" max="2563" min="2563" style="2" width="14.38"/>
    <col collapsed="false" customWidth="true" hidden="false" outlineLevel="0" max="2564" min="2564" style="2" width="8"/>
    <col collapsed="false" customWidth="true" hidden="false" outlineLevel="0" max="2565" min="2565" style="2" width="38"/>
    <col collapsed="false" customWidth="true" hidden="false" outlineLevel="0" max="2566" min="2566" style="2" width="48.12"/>
    <col collapsed="false" customWidth="false" hidden="false" outlineLevel="0" max="2816" min="2567" style="2" width="9"/>
    <col collapsed="false" customWidth="true" hidden="false" outlineLevel="0" max="2817" min="2817" style="2" width="28.12"/>
    <col collapsed="false" customWidth="true" hidden="false" outlineLevel="0" max="2818" min="2818" style="2" width="10"/>
    <col collapsed="false" customWidth="true" hidden="false" outlineLevel="0" max="2819" min="2819" style="2" width="14.38"/>
    <col collapsed="false" customWidth="true" hidden="false" outlineLevel="0" max="2820" min="2820" style="2" width="8"/>
    <col collapsed="false" customWidth="true" hidden="false" outlineLevel="0" max="2821" min="2821" style="2" width="38"/>
    <col collapsed="false" customWidth="true" hidden="false" outlineLevel="0" max="2822" min="2822" style="2" width="48.12"/>
    <col collapsed="false" customWidth="false" hidden="false" outlineLevel="0" max="3072" min="2823" style="2" width="9"/>
    <col collapsed="false" customWidth="true" hidden="false" outlineLevel="0" max="3073" min="3073" style="2" width="28.12"/>
    <col collapsed="false" customWidth="true" hidden="false" outlineLevel="0" max="3074" min="3074" style="2" width="10"/>
    <col collapsed="false" customWidth="true" hidden="false" outlineLevel="0" max="3075" min="3075" style="2" width="14.38"/>
    <col collapsed="false" customWidth="true" hidden="false" outlineLevel="0" max="3076" min="3076" style="2" width="8"/>
    <col collapsed="false" customWidth="true" hidden="false" outlineLevel="0" max="3077" min="3077" style="2" width="38"/>
    <col collapsed="false" customWidth="true" hidden="false" outlineLevel="0" max="3078" min="3078" style="2" width="48.12"/>
    <col collapsed="false" customWidth="false" hidden="false" outlineLevel="0" max="3328" min="3079" style="2" width="9"/>
    <col collapsed="false" customWidth="true" hidden="false" outlineLevel="0" max="3329" min="3329" style="2" width="28.12"/>
    <col collapsed="false" customWidth="true" hidden="false" outlineLevel="0" max="3330" min="3330" style="2" width="10"/>
    <col collapsed="false" customWidth="true" hidden="false" outlineLevel="0" max="3331" min="3331" style="2" width="14.38"/>
    <col collapsed="false" customWidth="true" hidden="false" outlineLevel="0" max="3332" min="3332" style="2" width="8"/>
    <col collapsed="false" customWidth="true" hidden="false" outlineLevel="0" max="3333" min="3333" style="2" width="38"/>
    <col collapsed="false" customWidth="true" hidden="false" outlineLevel="0" max="3334" min="3334" style="2" width="48.12"/>
    <col collapsed="false" customWidth="false" hidden="false" outlineLevel="0" max="3584" min="3335" style="2" width="9"/>
    <col collapsed="false" customWidth="true" hidden="false" outlineLevel="0" max="3585" min="3585" style="2" width="28.12"/>
    <col collapsed="false" customWidth="true" hidden="false" outlineLevel="0" max="3586" min="3586" style="2" width="10"/>
    <col collapsed="false" customWidth="true" hidden="false" outlineLevel="0" max="3587" min="3587" style="2" width="14.38"/>
    <col collapsed="false" customWidth="true" hidden="false" outlineLevel="0" max="3588" min="3588" style="2" width="8"/>
    <col collapsed="false" customWidth="true" hidden="false" outlineLevel="0" max="3589" min="3589" style="2" width="38"/>
    <col collapsed="false" customWidth="true" hidden="false" outlineLevel="0" max="3590" min="3590" style="2" width="48.12"/>
    <col collapsed="false" customWidth="false" hidden="false" outlineLevel="0" max="3840" min="3591" style="2" width="9"/>
    <col collapsed="false" customWidth="true" hidden="false" outlineLevel="0" max="3841" min="3841" style="2" width="28.12"/>
    <col collapsed="false" customWidth="true" hidden="false" outlineLevel="0" max="3842" min="3842" style="2" width="10"/>
    <col collapsed="false" customWidth="true" hidden="false" outlineLevel="0" max="3843" min="3843" style="2" width="14.38"/>
    <col collapsed="false" customWidth="true" hidden="false" outlineLevel="0" max="3844" min="3844" style="2" width="8"/>
    <col collapsed="false" customWidth="true" hidden="false" outlineLevel="0" max="3845" min="3845" style="2" width="38"/>
    <col collapsed="false" customWidth="true" hidden="false" outlineLevel="0" max="3846" min="3846" style="2" width="48.12"/>
    <col collapsed="false" customWidth="false" hidden="false" outlineLevel="0" max="4096" min="3847" style="2" width="9"/>
    <col collapsed="false" customWidth="true" hidden="false" outlineLevel="0" max="4097" min="4097" style="2" width="28.12"/>
    <col collapsed="false" customWidth="true" hidden="false" outlineLevel="0" max="4098" min="4098" style="2" width="10"/>
    <col collapsed="false" customWidth="true" hidden="false" outlineLevel="0" max="4099" min="4099" style="2" width="14.38"/>
    <col collapsed="false" customWidth="true" hidden="false" outlineLevel="0" max="4100" min="4100" style="2" width="8"/>
    <col collapsed="false" customWidth="true" hidden="false" outlineLevel="0" max="4101" min="4101" style="2" width="38"/>
    <col collapsed="false" customWidth="true" hidden="false" outlineLevel="0" max="4102" min="4102" style="2" width="48.12"/>
    <col collapsed="false" customWidth="false" hidden="false" outlineLevel="0" max="4352" min="4103" style="2" width="9"/>
    <col collapsed="false" customWidth="true" hidden="false" outlineLevel="0" max="4353" min="4353" style="2" width="28.12"/>
    <col collapsed="false" customWidth="true" hidden="false" outlineLevel="0" max="4354" min="4354" style="2" width="10"/>
    <col collapsed="false" customWidth="true" hidden="false" outlineLevel="0" max="4355" min="4355" style="2" width="14.38"/>
    <col collapsed="false" customWidth="true" hidden="false" outlineLevel="0" max="4356" min="4356" style="2" width="8"/>
    <col collapsed="false" customWidth="true" hidden="false" outlineLevel="0" max="4357" min="4357" style="2" width="38"/>
    <col collapsed="false" customWidth="true" hidden="false" outlineLevel="0" max="4358" min="4358" style="2" width="48.12"/>
    <col collapsed="false" customWidth="false" hidden="false" outlineLevel="0" max="4608" min="4359" style="2" width="9"/>
    <col collapsed="false" customWidth="true" hidden="false" outlineLevel="0" max="4609" min="4609" style="2" width="28.12"/>
    <col collapsed="false" customWidth="true" hidden="false" outlineLevel="0" max="4610" min="4610" style="2" width="10"/>
    <col collapsed="false" customWidth="true" hidden="false" outlineLevel="0" max="4611" min="4611" style="2" width="14.38"/>
    <col collapsed="false" customWidth="true" hidden="false" outlineLevel="0" max="4612" min="4612" style="2" width="8"/>
    <col collapsed="false" customWidth="true" hidden="false" outlineLevel="0" max="4613" min="4613" style="2" width="38"/>
    <col collapsed="false" customWidth="true" hidden="false" outlineLevel="0" max="4614" min="4614" style="2" width="48.12"/>
    <col collapsed="false" customWidth="false" hidden="false" outlineLevel="0" max="4864" min="4615" style="2" width="9"/>
    <col collapsed="false" customWidth="true" hidden="false" outlineLevel="0" max="4865" min="4865" style="2" width="28.12"/>
    <col collapsed="false" customWidth="true" hidden="false" outlineLevel="0" max="4866" min="4866" style="2" width="10"/>
    <col collapsed="false" customWidth="true" hidden="false" outlineLevel="0" max="4867" min="4867" style="2" width="14.38"/>
    <col collapsed="false" customWidth="true" hidden="false" outlineLevel="0" max="4868" min="4868" style="2" width="8"/>
    <col collapsed="false" customWidth="true" hidden="false" outlineLevel="0" max="4869" min="4869" style="2" width="38"/>
    <col collapsed="false" customWidth="true" hidden="false" outlineLevel="0" max="4870" min="4870" style="2" width="48.12"/>
    <col collapsed="false" customWidth="false" hidden="false" outlineLevel="0" max="5120" min="4871" style="2" width="9"/>
    <col collapsed="false" customWidth="true" hidden="false" outlineLevel="0" max="5121" min="5121" style="2" width="28.12"/>
    <col collapsed="false" customWidth="true" hidden="false" outlineLevel="0" max="5122" min="5122" style="2" width="10"/>
    <col collapsed="false" customWidth="true" hidden="false" outlineLevel="0" max="5123" min="5123" style="2" width="14.38"/>
    <col collapsed="false" customWidth="true" hidden="false" outlineLevel="0" max="5124" min="5124" style="2" width="8"/>
    <col collapsed="false" customWidth="true" hidden="false" outlineLevel="0" max="5125" min="5125" style="2" width="38"/>
    <col collapsed="false" customWidth="true" hidden="false" outlineLevel="0" max="5126" min="5126" style="2" width="48.12"/>
    <col collapsed="false" customWidth="false" hidden="false" outlineLevel="0" max="5376" min="5127" style="2" width="9"/>
    <col collapsed="false" customWidth="true" hidden="false" outlineLevel="0" max="5377" min="5377" style="2" width="28.12"/>
    <col collapsed="false" customWidth="true" hidden="false" outlineLevel="0" max="5378" min="5378" style="2" width="10"/>
    <col collapsed="false" customWidth="true" hidden="false" outlineLevel="0" max="5379" min="5379" style="2" width="14.38"/>
    <col collapsed="false" customWidth="true" hidden="false" outlineLevel="0" max="5380" min="5380" style="2" width="8"/>
    <col collapsed="false" customWidth="true" hidden="false" outlineLevel="0" max="5381" min="5381" style="2" width="38"/>
    <col collapsed="false" customWidth="true" hidden="false" outlineLevel="0" max="5382" min="5382" style="2" width="48.12"/>
    <col collapsed="false" customWidth="false" hidden="false" outlineLevel="0" max="5632" min="5383" style="2" width="9"/>
    <col collapsed="false" customWidth="true" hidden="false" outlineLevel="0" max="5633" min="5633" style="2" width="28.12"/>
    <col collapsed="false" customWidth="true" hidden="false" outlineLevel="0" max="5634" min="5634" style="2" width="10"/>
    <col collapsed="false" customWidth="true" hidden="false" outlineLevel="0" max="5635" min="5635" style="2" width="14.38"/>
    <col collapsed="false" customWidth="true" hidden="false" outlineLevel="0" max="5636" min="5636" style="2" width="8"/>
    <col collapsed="false" customWidth="true" hidden="false" outlineLevel="0" max="5637" min="5637" style="2" width="38"/>
    <col collapsed="false" customWidth="true" hidden="false" outlineLevel="0" max="5638" min="5638" style="2" width="48.12"/>
    <col collapsed="false" customWidth="false" hidden="false" outlineLevel="0" max="5888" min="5639" style="2" width="9"/>
    <col collapsed="false" customWidth="true" hidden="false" outlineLevel="0" max="5889" min="5889" style="2" width="28.12"/>
    <col collapsed="false" customWidth="true" hidden="false" outlineLevel="0" max="5890" min="5890" style="2" width="10"/>
    <col collapsed="false" customWidth="true" hidden="false" outlineLevel="0" max="5891" min="5891" style="2" width="14.38"/>
    <col collapsed="false" customWidth="true" hidden="false" outlineLevel="0" max="5892" min="5892" style="2" width="8"/>
    <col collapsed="false" customWidth="true" hidden="false" outlineLevel="0" max="5893" min="5893" style="2" width="38"/>
    <col collapsed="false" customWidth="true" hidden="false" outlineLevel="0" max="5894" min="5894" style="2" width="48.12"/>
    <col collapsed="false" customWidth="false" hidden="false" outlineLevel="0" max="6144" min="5895" style="2" width="9"/>
    <col collapsed="false" customWidth="true" hidden="false" outlineLevel="0" max="6145" min="6145" style="2" width="28.12"/>
    <col collapsed="false" customWidth="true" hidden="false" outlineLevel="0" max="6146" min="6146" style="2" width="10"/>
    <col collapsed="false" customWidth="true" hidden="false" outlineLevel="0" max="6147" min="6147" style="2" width="14.38"/>
    <col collapsed="false" customWidth="true" hidden="false" outlineLevel="0" max="6148" min="6148" style="2" width="8"/>
    <col collapsed="false" customWidth="true" hidden="false" outlineLevel="0" max="6149" min="6149" style="2" width="38"/>
    <col collapsed="false" customWidth="true" hidden="false" outlineLevel="0" max="6150" min="6150" style="2" width="48.12"/>
    <col collapsed="false" customWidth="false" hidden="false" outlineLevel="0" max="6400" min="6151" style="2" width="9"/>
    <col collapsed="false" customWidth="true" hidden="false" outlineLevel="0" max="6401" min="6401" style="2" width="28.12"/>
    <col collapsed="false" customWidth="true" hidden="false" outlineLevel="0" max="6402" min="6402" style="2" width="10"/>
    <col collapsed="false" customWidth="true" hidden="false" outlineLevel="0" max="6403" min="6403" style="2" width="14.38"/>
    <col collapsed="false" customWidth="true" hidden="false" outlineLevel="0" max="6404" min="6404" style="2" width="8"/>
    <col collapsed="false" customWidth="true" hidden="false" outlineLevel="0" max="6405" min="6405" style="2" width="38"/>
    <col collapsed="false" customWidth="true" hidden="false" outlineLevel="0" max="6406" min="6406" style="2" width="48.12"/>
    <col collapsed="false" customWidth="false" hidden="false" outlineLevel="0" max="6656" min="6407" style="2" width="9"/>
    <col collapsed="false" customWidth="true" hidden="false" outlineLevel="0" max="6657" min="6657" style="2" width="28.12"/>
    <col collapsed="false" customWidth="true" hidden="false" outlineLevel="0" max="6658" min="6658" style="2" width="10"/>
    <col collapsed="false" customWidth="true" hidden="false" outlineLevel="0" max="6659" min="6659" style="2" width="14.38"/>
    <col collapsed="false" customWidth="true" hidden="false" outlineLevel="0" max="6660" min="6660" style="2" width="8"/>
    <col collapsed="false" customWidth="true" hidden="false" outlineLevel="0" max="6661" min="6661" style="2" width="38"/>
    <col collapsed="false" customWidth="true" hidden="false" outlineLevel="0" max="6662" min="6662" style="2" width="48.12"/>
    <col collapsed="false" customWidth="false" hidden="false" outlineLevel="0" max="6912" min="6663" style="2" width="9"/>
    <col collapsed="false" customWidth="true" hidden="false" outlineLevel="0" max="6913" min="6913" style="2" width="28.12"/>
    <col collapsed="false" customWidth="true" hidden="false" outlineLevel="0" max="6914" min="6914" style="2" width="10"/>
    <col collapsed="false" customWidth="true" hidden="false" outlineLevel="0" max="6915" min="6915" style="2" width="14.38"/>
    <col collapsed="false" customWidth="true" hidden="false" outlineLevel="0" max="6916" min="6916" style="2" width="8"/>
    <col collapsed="false" customWidth="true" hidden="false" outlineLevel="0" max="6917" min="6917" style="2" width="38"/>
    <col collapsed="false" customWidth="true" hidden="false" outlineLevel="0" max="6918" min="6918" style="2" width="48.12"/>
    <col collapsed="false" customWidth="false" hidden="false" outlineLevel="0" max="7168" min="6919" style="2" width="9"/>
    <col collapsed="false" customWidth="true" hidden="false" outlineLevel="0" max="7169" min="7169" style="2" width="28.12"/>
    <col collapsed="false" customWidth="true" hidden="false" outlineLevel="0" max="7170" min="7170" style="2" width="10"/>
    <col collapsed="false" customWidth="true" hidden="false" outlineLevel="0" max="7171" min="7171" style="2" width="14.38"/>
    <col collapsed="false" customWidth="true" hidden="false" outlineLevel="0" max="7172" min="7172" style="2" width="8"/>
    <col collapsed="false" customWidth="true" hidden="false" outlineLevel="0" max="7173" min="7173" style="2" width="38"/>
    <col collapsed="false" customWidth="true" hidden="false" outlineLevel="0" max="7174" min="7174" style="2" width="48.12"/>
    <col collapsed="false" customWidth="false" hidden="false" outlineLevel="0" max="7424" min="7175" style="2" width="9"/>
    <col collapsed="false" customWidth="true" hidden="false" outlineLevel="0" max="7425" min="7425" style="2" width="28.12"/>
    <col collapsed="false" customWidth="true" hidden="false" outlineLevel="0" max="7426" min="7426" style="2" width="10"/>
    <col collapsed="false" customWidth="true" hidden="false" outlineLevel="0" max="7427" min="7427" style="2" width="14.38"/>
    <col collapsed="false" customWidth="true" hidden="false" outlineLevel="0" max="7428" min="7428" style="2" width="8"/>
    <col collapsed="false" customWidth="true" hidden="false" outlineLevel="0" max="7429" min="7429" style="2" width="38"/>
    <col collapsed="false" customWidth="true" hidden="false" outlineLevel="0" max="7430" min="7430" style="2" width="48.12"/>
    <col collapsed="false" customWidth="false" hidden="false" outlineLevel="0" max="7680" min="7431" style="2" width="9"/>
    <col collapsed="false" customWidth="true" hidden="false" outlineLevel="0" max="7681" min="7681" style="2" width="28.12"/>
    <col collapsed="false" customWidth="true" hidden="false" outlineLevel="0" max="7682" min="7682" style="2" width="10"/>
    <col collapsed="false" customWidth="true" hidden="false" outlineLevel="0" max="7683" min="7683" style="2" width="14.38"/>
    <col collapsed="false" customWidth="true" hidden="false" outlineLevel="0" max="7684" min="7684" style="2" width="8"/>
    <col collapsed="false" customWidth="true" hidden="false" outlineLevel="0" max="7685" min="7685" style="2" width="38"/>
    <col collapsed="false" customWidth="true" hidden="false" outlineLevel="0" max="7686" min="7686" style="2" width="48.12"/>
    <col collapsed="false" customWidth="false" hidden="false" outlineLevel="0" max="7936" min="7687" style="2" width="9"/>
    <col collapsed="false" customWidth="true" hidden="false" outlineLevel="0" max="7937" min="7937" style="2" width="28.12"/>
    <col collapsed="false" customWidth="true" hidden="false" outlineLevel="0" max="7938" min="7938" style="2" width="10"/>
    <col collapsed="false" customWidth="true" hidden="false" outlineLevel="0" max="7939" min="7939" style="2" width="14.38"/>
    <col collapsed="false" customWidth="true" hidden="false" outlineLevel="0" max="7940" min="7940" style="2" width="8"/>
    <col collapsed="false" customWidth="true" hidden="false" outlineLevel="0" max="7941" min="7941" style="2" width="38"/>
    <col collapsed="false" customWidth="true" hidden="false" outlineLevel="0" max="7942" min="7942" style="2" width="48.12"/>
    <col collapsed="false" customWidth="false" hidden="false" outlineLevel="0" max="8192" min="7943" style="2" width="9"/>
    <col collapsed="false" customWidth="true" hidden="false" outlineLevel="0" max="8193" min="8193" style="2" width="28.12"/>
    <col collapsed="false" customWidth="true" hidden="false" outlineLevel="0" max="8194" min="8194" style="2" width="10"/>
    <col collapsed="false" customWidth="true" hidden="false" outlineLevel="0" max="8195" min="8195" style="2" width="14.38"/>
    <col collapsed="false" customWidth="true" hidden="false" outlineLevel="0" max="8196" min="8196" style="2" width="8"/>
    <col collapsed="false" customWidth="true" hidden="false" outlineLevel="0" max="8197" min="8197" style="2" width="38"/>
    <col collapsed="false" customWidth="true" hidden="false" outlineLevel="0" max="8198" min="8198" style="2" width="48.12"/>
    <col collapsed="false" customWidth="false" hidden="false" outlineLevel="0" max="8448" min="8199" style="2" width="9"/>
    <col collapsed="false" customWidth="true" hidden="false" outlineLevel="0" max="8449" min="8449" style="2" width="28.12"/>
    <col collapsed="false" customWidth="true" hidden="false" outlineLevel="0" max="8450" min="8450" style="2" width="10"/>
    <col collapsed="false" customWidth="true" hidden="false" outlineLevel="0" max="8451" min="8451" style="2" width="14.38"/>
    <col collapsed="false" customWidth="true" hidden="false" outlineLevel="0" max="8452" min="8452" style="2" width="8"/>
    <col collapsed="false" customWidth="true" hidden="false" outlineLevel="0" max="8453" min="8453" style="2" width="38"/>
    <col collapsed="false" customWidth="true" hidden="false" outlineLevel="0" max="8454" min="8454" style="2" width="48.12"/>
    <col collapsed="false" customWidth="false" hidden="false" outlineLevel="0" max="8704" min="8455" style="2" width="9"/>
    <col collapsed="false" customWidth="true" hidden="false" outlineLevel="0" max="8705" min="8705" style="2" width="28.12"/>
    <col collapsed="false" customWidth="true" hidden="false" outlineLevel="0" max="8706" min="8706" style="2" width="10"/>
    <col collapsed="false" customWidth="true" hidden="false" outlineLevel="0" max="8707" min="8707" style="2" width="14.38"/>
    <col collapsed="false" customWidth="true" hidden="false" outlineLevel="0" max="8708" min="8708" style="2" width="8"/>
    <col collapsed="false" customWidth="true" hidden="false" outlineLevel="0" max="8709" min="8709" style="2" width="38"/>
    <col collapsed="false" customWidth="true" hidden="false" outlineLevel="0" max="8710" min="8710" style="2" width="48.12"/>
    <col collapsed="false" customWidth="false" hidden="false" outlineLevel="0" max="8960" min="8711" style="2" width="9"/>
    <col collapsed="false" customWidth="true" hidden="false" outlineLevel="0" max="8961" min="8961" style="2" width="28.12"/>
    <col collapsed="false" customWidth="true" hidden="false" outlineLevel="0" max="8962" min="8962" style="2" width="10"/>
    <col collapsed="false" customWidth="true" hidden="false" outlineLevel="0" max="8963" min="8963" style="2" width="14.38"/>
    <col collapsed="false" customWidth="true" hidden="false" outlineLevel="0" max="8964" min="8964" style="2" width="8"/>
    <col collapsed="false" customWidth="true" hidden="false" outlineLevel="0" max="8965" min="8965" style="2" width="38"/>
    <col collapsed="false" customWidth="true" hidden="false" outlineLevel="0" max="8966" min="8966" style="2" width="48.12"/>
    <col collapsed="false" customWidth="false" hidden="false" outlineLevel="0" max="9216" min="8967" style="2" width="9"/>
    <col collapsed="false" customWidth="true" hidden="false" outlineLevel="0" max="9217" min="9217" style="2" width="28.12"/>
    <col collapsed="false" customWidth="true" hidden="false" outlineLevel="0" max="9218" min="9218" style="2" width="10"/>
    <col collapsed="false" customWidth="true" hidden="false" outlineLevel="0" max="9219" min="9219" style="2" width="14.38"/>
    <col collapsed="false" customWidth="true" hidden="false" outlineLevel="0" max="9220" min="9220" style="2" width="8"/>
    <col collapsed="false" customWidth="true" hidden="false" outlineLevel="0" max="9221" min="9221" style="2" width="38"/>
    <col collapsed="false" customWidth="true" hidden="false" outlineLevel="0" max="9222" min="9222" style="2" width="48.12"/>
    <col collapsed="false" customWidth="false" hidden="false" outlineLevel="0" max="9472" min="9223" style="2" width="9"/>
    <col collapsed="false" customWidth="true" hidden="false" outlineLevel="0" max="9473" min="9473" style="2" width="28.12"/>
    <col collapsed="false" customWidth="true" hidden="false" outlineLevel="0" max="9474" min="9474" style="2" width="10"/>
    <col collapsed="false" customWidth="true" hidden="false" outlineLevel="0" max="9475" min="9475" style="2" width="14.38"/>
    <col collapsed="false" customWidth="true" hidden="false" outlineLevel="0" max="9476" min="9476" style="2" width="8"/>
    <col collapsed="false" customWidth="true" hidden="false" outlineLevel="0" max="9477" min="9477" style="2" width="38"/>
    <col collapsed="false" customWidth="true" hidden="false" outlineLevel="0" max="9478" min="9478" style="2" width="48.12"/>
    <col collapsed="false" customWidth="false" hidden="false" outlineLevel="0" max="9728" min="9479" style="2" width="9"/>
    <col collapsed="false" customWidth="true" hidden="false" outlineLevel="0" max="9729" min="9729" style="2" width="28.12"/>
    <col collapsed="false" customWidth="true" hidden="false" outlineLevel="0" max="9730" min="9730" style="2" width="10"/>
    <col collapsed="false" customWidth="true" hidden="false" outlineLevel="0" max="9731" min="9731" style="2" width="14.38"/>
    <col collapsed="false" customWidth="true" hidden="false" outlineLevel="0" max="9732" min="9732" style="2" width="8"/>
    <col collapsed="false" customWidth="true" hidden="false" outlineLevel="0" max="9733" min="9733" style="2" width="38"/>
    <col collapsed="false" customWidth="true" hidden="false" outlineLevel="0" max="9734" min="9734" style="2" width="48.12"/>
    <col collapsed="false" customWidth="false" hidden="false" outlineLevel="0" max="9984" min="9735" style="2" width="9"/>
    <col collapsed="false" customWidth="true" hidden="false" outlineLevel="0" max="9985" min="9985" style="2" width="28.12"/>
    <col collapsed="false" customWidth="true" hidden="false" outlineLevel="0" max="9986" min="9986" style="2" width="10"/>
    <col collapsed="false" customWidth="true" hidden="false" outlineLevel="0" max="9987" min="9987" style="2" width="14.38"/>
    <col collapsed="false" customWidth="true" hidden="false" outlineLevel="0" max="9988" min="9988" style="2" width="8"/>
    <col collapsed="false" customWidth="true" hidden="false" outlineLevel="0" max="9989" min="9989" style="2" width="38"/>
    <col collapsed="false" customWidth="true" hidden="false" outlineLevel="0" max="9990" min="9990" style="2" width="48.12"/>
    <col collapsed="false" customWidth="false" hidden="false" outlineLevel="0" max="10240" min="9991" style="2" width="9"/>
    <col collapsed="false" customWidth="true" hidden="false" outlineLevel="0" max="10241" min="10241" style="2" width="28.12"/>
    <col collapsed="false" customWidth="true" hidden="false" outlineLevel="0" max="10242" min="10242" style="2" width="10"/>
    <col collapsed="false" customWidth="true" hidden="false" outlineLevel="0" max="10243" min="10243" style="2" width="14.38"/>
    <col collapsed="false" customWidth="true" hidden="false" outlineLevel="0" max="10244" min="10244" style="2" width="8"/>
    <col collapsed="false" customWidth="true" hidden="false" outlineLevel="0" max="10245" min="10245" style="2" width="38"/>
    <col collapsed="false" customWidth="true" hidden="false" outlineLevel="0" max="10246" min="10246" style="2" width="48.12"/>
    <col collapsed="false" customWidth="false" hidden="false" outlineLevel="0" max="10496" min="10247" style="2" width="9"/>
    <col collapsed="false" customWidth="true" hidden="false" outlineLevel="0" max="10497" min="10497" style="2" width="28.12"/>
    <col collapsed="false" customWidth="true" hidden="false" outlineLevel="0" max="10498" min="10498" style="2" width="10"/>
    <col collapsed="false" customWidth="true" hidden="false" outlineLevel="0" max="10499" min="10499" style="2" width="14.38"/>
    <col collapsed="false" customWidth="true" hidden="false" outlineLevel="0" max="10500" min="10500" style="2" width="8"/>
    <col collapsed="false" customWidth="true" hidden="false" outlineLevel="0" max="10501" min="10501" style="2" width="38"/>
    <col collapsed="false" customWidth="true" hidden="false" outlineLevel="0" max="10502" min="10502" style="2" width="48.12"/>
    <col collapsed="false" customWidth="false" hidden="false" outlineLevel="0" max="10752" min="10503" style="2" width="9"/>
    <col collapsed="false" customWidth="true" hidden="false" outlineLevel="0" max="10753" min="10753" style="2" width="28.12"/>
    <col collapsed="false" customWidth="true" hidden="false" outlineLevel="0" max="10754" min="10754" style="2" width="10"/>
    <col collapsed="false" customWidth="true" hidden="false" outlineLevel="0" max="10755" min="10755" style="2" width="14.38"/>
    <col collapsed="false" customWidth="true" hidden="false" outlineLevel="0" max="10756" min="10756" style="2" width="8"/>
    <col collapsed="false" customWidth="true" hidden="false" outlineLevel="0" max="10757" min="10757" style="2" width="38"/>
    <col collapsed="false" customWidth="true" hidden="false" outlineLevel="0" max="10758" min="10758" style="2" width="48.12"/>
    <col collapsed="false" customWidth="false" hidden="false" outlineLevel="0" max="11008" min="10759" style="2" width="9"/>
    <col collapsed="false" customWidth="true" hidden="false" outlineLevel="0" max="11009" min="11009" style="2" width="28.12"/>
    <col collapsed="false" customWidth="true" hidden="false" outlineLevel="0" max="11010" min="11010" style="2" width="10"/>
    <col collapsed="false" customWidth="true" hidden="false" outlineLevel="0" max="11011" min="11011" style="2" width="14.38"/>
    <col collapsed="false" customWidth="true" hidden="false" outlineLevel="0" max="11012" min="11012" style="2" width="8"/>
    <col collapsed="false" customWidth="true" hidden="false" outlineLevel="0" max="11013" min="11013" style="2" width="38"/>
    <col collapsed="false" customWidth="true" hidden="false" outlineLevel="0" max="11014" min="11014" style="2" width="48.12"/>
    <col collapsed="false" customWidth="false" hidden="false" outlineLevel="0" max="11264" min="11015" style="2" width="9"/>
    <col collapsed="false" customWidth="true" hidden="false" outlineLevel="0" max="11265" min="11265" style="2" width="28.12"/>
    <col collapsed="false" customWidth="true" hidden="false" outlineLevel="0" max="11266" min="11266" style="2" width="10"/>
    <col collapsed="false" customWidth="true" hidden="false" outlineLevel="0" max="11267" min="11267" style="2" width="14.38"/>
    <col collapsed="false" customWidth="true" hidden="false" outlineLevel="0" max="11268" min="11268" style="2" width="8"/>
    <col collapsed="false" customWidth="true" hidden="false" outlineLevel="0" max="11269" min="11269" style="2" width="38"/>
    <col collapsed="false" customWidth="true" hidden="false" outlineLevel="0" max="11270" min="11270" style="2" width="48.12"/>
    <col collapsed="false" customWidth="false" hidden="false" outlineLevel="0" max="11520" min="11271" style="2" width="9"/>
    <col collapsed="false" customWidth="true" hidden="false" outlineLevel="0" max="11521" min="11521" style="2" width="28.12"/>
    <col collapsed="false" customWidth="true" hidden="false" outlineLevel="0" max="11522" min="11522" style="2" width="10"/>
    <col collapsed="false" customWidth="true" hidden="false" outlineLevel="0" max="11523" min="11523" style="2" width="14.38"/>
    <col collapsed="false" customWidth="true" hidden="false" outlineLevel="0" max="11524" min="11524" style="2" width="8"/>
    <col collapsed="false" customWidth="true" hidden="false" outlineLevel="0" max="11525" min="11525" style="2" width="38"/>
    <col collapsed="false" customWidth="true" hidden="false" outlineLevel="0" max="11526" min="11526" style="2" width="48.12"/>
    <col collapsed="false" customWidth="false" hidden="false" outlineLevel="0" max="11776" min="11527" style="2" width="9"/>
    <col collapsed="false" customWidth="true" hidden="false" outlineLevel="0" max="11777" min="11777" style="2" width="28.12"/>
    <col collapsed="false" customWidth="true" hidden="false" outlineLevel="0" max="11778" min="11778" style="2" width="10"/>
    <col collapsed="false" customWidth="true" hidden="false" outlineLevel="0" max="11779" min="11779" style="2" width="14.38"/>
    <col collapsed="false" customWidth="true" hidden="false" outlineLevel="0" max="11780" min="11780" style="2" width="8"/>
    <col collapsed="false" customWidth="true" hidden="false" outlineLevel="0" max="11781" min="11781" style="2" width="38"/>
    <col collapsed="false" customWidth="true" hidden="false" outlineLevel="0" max="11782" min="11782" style="2" width="48.12"/>
    <col collapsed="false" customWidth="false" hidden="false" outlineLevel="0" max="12032" min="11783" style="2" width="9"/>
    <col collapsed="false" customWidth="true" hidden="false" outlineLevel="0" max="12033" min="12033" style="2" width="28.12"/>
    <col collapsed="false" customWidth="true" hidden="false" outlineLevel="0" max="12034" min="12034" style="2" width="10"/>
    <col collapsed="false" customWidth="true" hidden="false" outlineLevel="0" max="12035" min="12035" style="2" width="14.38"/>
    <col collapsed="false" customWidth="true" hidden="false" outlineLevel="0" max="12036" min="12036" style="2" width="8"/>
    <col collapsed="false" customWidth="true" hidden="false" outlineLevel="0" max="12037" min="12037" style="2" width="38"/>
    <col collapsed="false" customWidth="true" hidden="false" outlineLevel="0" max="12038" min="12038" style="2" width="48.12"/>
    <col collapsed="false" customWidth="false" hidden="false" outlineLevel="0" max="12288" min="12039" style="2" width="9"/>
    <col collapsed="false" customWidth="true" hidden="false" outlineLevel="0" max="12289" min="12289" style="2" width="28.12"/>
    <col collapsed="false" customWidth="true" hidden="false" outlineLevel="0" max="12290" min="12290" style="2" width="10"/>
    <col collapsed="false" customWidth="true" hidden="false" outlineLevel="0" max="12291" min="12291" style="2" width="14.38"/>
    <col collapsed="false" customWidth="true" hidden="false" outlineLevel="0" max="12292" min="12292" style="2" width="8"/>
    <col collapsed="false" customWidth="true" hidden="false" outlineLevel="0" max="12293" min="12293" style="2" width="38"/>
    <col collapsed="false" customWidth="true" hidden="false" outlineLevel="0" max="12294" min="12294" style="2" width="48.12"/>
    <col collapsed="false" customWidth="false" hidden="false" outlineLevel="0" max="12544" min="12295" style="2" width="9"/>
    <col collapsed="false" customWidth="true" hidden="false" outlineLevel="0" max="12545" min="12545" style="2" width="28.12"/>
    <col collapsed="false" customWidth="true" hidden="false" outlineLevel="0" max="12546" min="12546" style="2" width="10"/>
    <col collapsed="false" customWidth="true" hidden="false" outlineLevel="0" max="12547" min="12547" style="2" width="14.38"/>
    <col collapsed="false" customWidth="true" hidden="false" outlineLevel="0" max="12548" min="12548" style="2" width="8"/>
    <col collapsed="false" customWidth="true" hidden="false" outlineLevel="0" max="12549" min="12549" style="2" width="38"/>
    <col collapsed="false" customWidth="true" hidden="false" outlineLevel="0" max="12550" min="12550" style="2" width="48.12"/>
    <col collapsed="false" customWidth="false" hidden="false" outlineLevel="0" max="12800" min="12551" style="2" width="9"/>
    <col collapsed="false" customWidth="true" hidden="false" outlineLevel="0" max="12801" min="12801" style="2" width="28.12"/>
    <col collapsed="false" customWidth="true" hidden="false" outlineLevel="0" max="12802" min="12802" style="2" width="10"/>
    <col collapsed="false" customWidth="true" hidden="false" outlineLevel="0" max="12803" min="12803" style="2" width="14.38"/>
    <col collapsed="false" customWidth="true" hidden="false" outlineLevel="0" max="12804" min="12804" style="2" width="8"/>
    <col collapsed="false" customWidth="true" hidden="false" outlineLevel="0" max="12805" min="12805" style="2" width="38"/>
    <col collapsed="false" customWidth="true" hidden="false" outlineLevel="0" max="12806" min="12806" style="2" width="48.12"/>
    <col collapsed="false" customWidth="false" hidden="false" outlineLevel="0" max="13056" min="12807" style="2" width="9"/>
    <col collapsed="false" customWidth="true" hidden="false" outlineLevel="0" max="13057" min="13057" style="2" width="28.12"/>
    <col collapsed="false" customWidth="true" hidden="false" outlineLevel="0" max="13058" min="13058" style="2" width="10"/>
    <col collapsed="false" customWidth="true" hidden="false" outlineLevel="0" max="13059" min="13059" style="2" width="14.38"/>
    <col collapsed="false" customWidth="true" hidden="false" outlineLevel="0" max="13060" min="13060" style="2" width="8"/>
    <col collapsed="false" customWidth="true" hidden="false" outlineLevel="0" max="13061" min="13061" style="2" width="38"/>
    <col collapsed="false" customWidth="true" hidden="false" outlineLevel="0" max="13062" min="13062" style="2" width="48.12"/>
    <col collapsed="false" customWidth="false" hidden="false" outlineLevel="0" max="13312" min="13063" style="2" width="9"/>
    <col collapsed="false" customWidth="true" hidden="false" outlineLevel="0" max="13313" min="13313" style="2" width="28.12"/>
    <col collapsed="false" customWidth="true" hidden="false" outlineLevel="0" max="13314" min="13314" style="2" width="10"/>
    <col collapsed="false" customWidth="true" hidden="false" outlineLevel="0" max="13315" min="13315" style="2" width="14.38"/>
    <col collapsed="false" customWidth="true" hidden="false" outlineLevel="0" max="13316" min="13316" style="2" width="8"/>
    <col collapsed="false" customWidth="true" hidden="false" outlineLevel="0" max="13317" min="13317" style="2" width="38"/>
    <col collapsed="false" customWidth="true" hidden="false" outlineLevel="0" max="13318" min="13318" style="2" width="48.12"/>
    <col collapsed="false" customWidth="false" hidden="false" outlineLevel="0" max="13568" min="13319" style="2" width="9"/>
    <col collapsed="false" customWidth="true" hidden="false" outlineLevel="0" max="13569" min="13569" style="2" width="28.12"/>
    <col collapsed="false" customWidth="true" hidden="false" outlineLevel="0" max="13570" min="13570" style="2" width="10"/>
    <col collapsed="false" customWidth="true" hidden="false" outlineLevel="0" max="13571" min="13571" style="2" width="14.38"/>
    <col collapsed="false" customWidth="true" hidden="false" outlineLevel="0" max="13572" min="13572" style="2" width="8"/>
    <col collapsed="false" customWidth="true" hidden="false" outlineLevel="0" max="13573" min="13573" style="2" width="38"/>
    <col collapsed="false" customWidth="true" hidden="false" outlineLevel="0" max="13574" min="13574" style="2" width="48.12"/>
    <col collapsed="false" customWidth="false" hidden="false" outlineLevel="0" max="13824" min="13575" style="2" width="9"/>
    <col collapsed="false" customWidth="true" hidden="false" outlineLevel="0" max="13825" min="13825" style="2" width="28.12"/>
    <col collapsed="false" customWidth="true" hidden="false" outlineLevel="0" max="13826" min="13826" style="2" width="10"/>
    <col collapsed="false" customWidth="true" hidden="false" outlineLevel="0" max="13827" min="13827" style="2" width="14.38"/>
    <col collapsed="false" customWidth="true" hidden="false" outlineLevel="0" max="13828" min="13828" style="2" width="8"/>
    <col collapsed="false" customWidth="true" hidden="false" outlineLevel="0" max="13829" min="13829" style="2" width="38"/>
    <col collapsed="false" customWidth="true" hidden="false" outlineLevel="0" max="13830" min="13830" style="2" width="48.12"/>
    <col collapsed="false" customWidth="false" hidden="false" outlineLevel="0" max="14080" min="13831" style="2" width="9"/>
    <col collapsed="false" customWidth="true" hidden="false" outlineLevel="0" max="14081" min="14081" style="2" width="28.12"/>
    <col collapsed="false" customWidth="true" hidden="false" outlineLevel="0" max="14082" min="14082" style="2" width="10"/>
    <col collapsed="false" customWidth="true" hidden="false" outlineLevel="0" max="14083" min="14083" style="2" width="14.38"/>
    <col collapsed="false" customWidth="true" hidden="false" outlineLevel="0" max="14084" min="14084" style="2" width="8"/>
    <col collapsed="false" customWidth="true" hidden="false" outlineLevel="0" max="14085" min="14085" style="2" width="38"/>
    <col collapsed="false" customWidth="true" hidden="false" outlineLevel="0" max="14086" min="14086" style="2" width="48.12"/>
    <col collapsed="false" customWidth="false" hidden="false" outlineLevel="0" max="14336" min="14087" style="2" width="9"/>
    <col collapsed="false" customWidth="true" hidden="false" outlineLevel="0" max="14337" min="14337" style="2" width="28.12"/>
    <col collapsed="false" customWidth="true" hidden="false" outlineLevel="0" max="14338" min="14338" style="2" width="10"/>
    <col collapsed="false" customWidth="true" hidden="false" outlineLevel="0" max="14339" min="14339" style="2" width="14.38"/>
    <col collapsed="false" customWidth="true" hidden="false" outlineLevel="0" max="14340" min="14340" style="2" width="8"/>
    <col collapsed="false" customWidth="true" hidden="false" outlineLevel="0" max="14341" min="14341" style="2" width="38"/>
    <col collapsed="false" customWidth="true" hidden="false" outlineLevel="0" max="14342" min="14342" style="2" width="48.12"/>
    <col collapsed="false" customWidth="false" hidden="false" outlineLevel="0" max="14592" min="14343" style="2" width="9"/>
    <col collapsed="false" customWidth="true" hidden="false" outlineLevel="0" max="14593" min="14593" style="2" width="28.12"/>
    <col collapsed="false" customWidth="true" hidden="false" outlineLevel="0" max="14594" min="14594" style="2" width="10"/>
    <col collapsed="false" customWidth="true" hidden="false" outlineLevel="0" max="14595" min="14595" style="2" width="14.38"/>
    <col collapsed="false" customWidth="true" hidden="false" outlineLevel="0" max="14596" min="14596" style="2" width="8"/>
    <col collapsed="false" customWidth="true" hidden="false" outlineLevel="0" max="14597" min="14597" style="2" width="38"/>
    <col collapsed="false" customWidth="true" hidden="false" outlineLevel="0" max="14598" min="14598" style="2" width="48.12"/>
    <col collapsed="false" customWidth="false" hidden="false" outlineLevel="0" max="14848" min="14599" style="2" width="9"/>
    <col collapsed="false" customWidth="true" hidden="false" outlineLevel="0" max="14849" min="14849" style="2" width="28.12"/>
    <col collapsed="false" customWidth="true" hidden="false" outlineLevel="0" max="14850" min="14850" style="2" width="10"/>
    <col collapsed="false" customWidth="true" hidden="false" outlineLevel="0" max="14851" min="14851" style="2" width="14.38"/>
    <col collapsed="false" customWidth="true" hidden="false" outlineLevel="0" max="14852" min="14852" style="2" width="8"/>
    <col collapsed="false" customWidth="true" hidden="false" outlineLevel="0" max="14853" min="14853" style="2" width="38"/>
    <col collapsed="false" customWidth="true" hidden="false" outlineLevel="0" max="14854" min="14854" style="2" width="48.12"/>
    <col collapsed="false" customWidth="false" hidden="false" outlineLevel="0" max="15104" min="14855" style="2" width="9"/>
    <col collapsed="false" customWidth="true" hidden="false" outlineLevel="0" max="15105" min="15105" style="2" width="28.12"/>
    <col collapsed="false" customWidth="true" hidden="false" outlineLevel="0" max="15106" min="15106" style="2" width="10"/>
    <col collapsed="false" customWidth="true" hidden="false" outlineLevel="0" max="15107" min="15107" style="2" width="14.38"/>
    <col collapsed="false" customWidth="true" hidden="false" outlineLevel="0" max="15108" min="15108" style="2" width="8"/>
    <col collapsed="false" customWidth="true" hidden="false" outlineLevel="0" max="15109" min="15109" style="2" width="38"/>
    <col collapsed="false" customWidth="true" hidden="false" outlineLevel="0" max="15110" min="15110" style="2" width="48.12"/>
    <col collapsed="false" customWidth="false" hidden="false" outlineLevel="0" max="15360" min="15111" style="2" width="9"/>
    <col collapsed="false" customWidth="true" hidden="false" outlineLevel="0" max="15361" min="15361" style="2" width="28.12"/>
    <col collapsed="false" customWidth="true" hidden="false" outlineLevel="0" max="15362" min="15362" style="2" width="10"/>
    <col collapsed="false" customWidth="true" hidden="false" outlineLevel="0" max="15363" min="15363" style="2" width="14.38"/>
    <col collapsed="false" customWidth="true" hidden="false" outlineLevel="0" max="15364" min="15364" style="2" width="8"/>
    <col collapsed="false" customWidth="true" hidden="false" outlineLevel="0" max="15365" min="15365" style="2" width="38"/>
    <col collapsed="false" customWidth="true" hidden="false" outlineLevel="0" max="15366" min="15366" style="2" width="48.12"/>
    <col collapsed="false" customWidth="false" hidden="false" outlineLevel="0" max="15616" min="15367" style="2" width="9"/>
    <col collapsed="false" customWidth="true" hidden="false" outlineLevel="0" max="15617" min="15617" style="2" width="28.12"/>
    <col collapsed="false" customWidth="true" hidden="false" outlineLevel="0" max="15618" min="15618" style="2" width="10"/>
    <col collapsed="false" customWidth="true" hidden="false" outlineLevel="0" max="15619" min="15619" style="2" width="14.38"/>
    <col collapsed="false" customWidth="true" hidden="false" outlineLevel="0" max="15620" min="15620" style="2" width="8"/>
    <col collapsed="false" customWidth="true" hidden="false" outlineLevel="0" max="15621" min="15621" style="2" width="38"/>
    <col collapsed="false" customWidth="true" hidden="false" outlineLevel="0" max="15622" min="15622" style="2" width="48.12"/>
    <col collapsed="false" customWidth="false" hidden="false" outlineLevel="0" max="15872" min="15623" style="2" width="9"/>
    <col collapsed="false" customWidth="true" hidden="false" outlineLevel="0" max="15873" min="15873" style="2" width="28.12"/>
    <col collapsed="false" customWidth="true" hidden="false" outlineLevel="0" max="15874" min="15874" style="2" width="10"/>
    <col collapsed="false" customWidth="true" hidden="false" outlineLevel="0" max="15875" min="15875" style="2" width="14.38"/>
    <col collapsed="false" customWidth="true" hidden="false" outlineLevel="0" max="15876" min="15876" style="2" width="8"/>
    <col collapsed="false" customWidth="true" hidden="false" outlineLevel="0" max="15877" min="15877" style="2" width="38"/>
    <col collapsed="false" customWidth="true" hidden="false" outlineLevel="0" max="15878" min="15878" style="2" width="48.12"/>
    <col collapsed="false" customWidth="false" hidden="false" outlineLevel="0" max="16128" min="15879" style="2" width="9"/>
    <col collapsed="false" customWidth="true" hidden="false" outlineLevel="0" max="16129" min="16129" style="2" width="28.12"/>
    <col collapsed="false" customWidth="true" hidden="false" outlineLevel="0" max="16130" min="16130" style="2" width="10"/>
    <col collapsed="false" customWidth="true" hidden="false" outlineLevel="0" max="16131" min="16131" style="2" width="14.38"/>
    <col collapsed="false" customWidth="true" hidden="false" outlineLevel="0" max="16132" min="16132" style="2" width="8"/>
    <col collapsed="false" customWidth="true" hidden="false" outlineLevel="0" max="16133" min="16133" style="2" width="38"/>
    <col collapsed="false" customWidth="true" hidden="false" outlineLevel="0" max="16134" min="16134" style="2" width="48.12"/>
    <col collapsed="false" customWidth="false" hidden="false" outlineLevel="0" max="16384" min="16135" style="2" width="9"/>
  </cols>
  <sheetData>
    <row r="2" s="5" customFormat="true" ht="75.75" hidden="false" customHeight="true" outlineLevel="0" collapsed="false">
      <c r="A2" s="3"/>
      <c r="B2" s="4" t="s">
        <v>0</v>
      </c>
      <c r="C2" s="4"/>
      <c r="D2" s="4"/>
      <c r="E2" s="4"/>
      <c r="F2" s="4"/>
    </row>
    <row r="3" customFormat="false" ht="15" hidden="false" customHeight="false" outlineLevel="0" collapsed="false">
      <c r="A3" s="6"/>
      <c r="B3" s="7"/>
      <c r="E3" s="8"/>
    </row>
    <row r="4" customFormat="false" ht="31.5" hidden="false" customHeight="true" outlineLevel="0" collapsed="false">
      <c r="A4" s="9" t="s">
        <v>1</v>
      </c>
      <c r="B4" s="10" t="s">
        <v>2</v>
      </c>
      <c r="C4" s="10"/>
      <c r="D4" s="10"/>
      <c r="E4" s="9" t="s">
        <v>3</v>
      </c>
      <c r="F4" s="11" t="s">
        <v>4</v>
      </c>
    </row>
    <row r="5" customFormat="false" ht="14.25" hidden="false" customHeight="true" outlineLevel="0" collapsed="false">
      <c r="A5" s="9" t="s">
        <v>5</v>
      </c>
      <c r="B5" s="10" t="s">
        <v>6</v>
      </c>
      <c r="C5" s="10"/>
      <c r="D5" s="10"/>
      <c r="E5" s="9" t="s">
        <v>7</v>
      </c>
      <c r="F5" s="12" t="n">
        <v>46226</v>
      </c>
    </row>
    <row r="6" customFormat="false" ht="36" hidden="false" customHeight="true" outlineLevel="0" collapsed="false">
      <c r="A6" s="13" t="s">
        <v>8</v>
      </c>
      <c r="B6" s="10" t="s">
        <v>9</v>
      </c>
      <c r="C6" s="10"/>
      <c r="D6" s="10"/>
      <c r="E6" s="9" t="s">
        <v>10</v>
      </c>
      <c r="F6" s="14" t="s">
        <v>11</v>
      </c>
    </row>
    <row r="7" customFormat="false" ht="15" hidden="false" customHeight="false" outlineLevel="0" collapsed="false">
      <c r="A7" s="15"/>
      <c r="B7" s="16"/>
      <c r="E7" s="17"/>
      <c r="F7" s="7"/>
    </row>
    <row r="8" customFormat="false" ht="15" hidden="false" customHeight="false" outlineLevel="0" collapsed="false">
      <c r="A8" s="18"/>
    </row>
    <row r="9" customFormat="false" ht="15" hidden="false" customHeight="false" outlineLevel="0" collapsed="false">
      <c r="A9" s="19" t="s">
        <v>12</v>
      </c>
    </row>
    <row r="10" s="23" customFormat="true" ht="15" hidden="false" customHeight="false" outlineLevel="0" collapsed="false">
      <c r="A10" s="20" t="s">
        <v>13</v>
      </c>
      <c r="B10" s="21" t="s">
        <v>10</v>
      </c>
      <c r="C10" s="21" t="s">
        <v>14</v>
      </c>
      <c r="D10" s="21" t="s">
        <v>15</v>
      </c>
      <c r="E10" s="21" t="s">
        <v>16</v>
      </c>
      <c r="F10" s="22" t="s">
        <v>17</v>
      </c>
    </row>
    <row r="11" s="29" customFormat="true" ht="60" hidden="false" customHeight="true" outlineLevel="0" collapsed="false">
      <c r="A11" s="24" t="n">
        <v>46226</v>
      </c>
      <c r="B11" s="25" t="s">
        <v>11</v>
      </c>
      <c r="C11" s="26" t="s">
        <v>18</v>
      </c>
      <c r="D11" s="26" t="s">
        <v>19</v>
      </c>
      <c r="E11" s="27" t="s">
        <v>20</v>
      </c>
      <c r="F11" s="28" t="s">
        <v>21</v>
      </c>
    </row>
    <row r="12" s="29" customFormat="true" ht="21.75" hidden="false" customHeight="true" outlineLevel="0" collapsed="false">
      <c r="A12" s="30"/>
      <c r="B12" s="31"/>
      <c r="C12" s="32"/>
      <c r="D12" s="32"/>
      <c r="E12" s="32"/>
      <c r="F12" s="33"/>
    </row>
    <row r="13" s="29" customFormat="true" ht="19.5" hidden="false" customHeight="true" outlineLevel="0" collapsed="false">
      <c r="A13" s="30"/>
      <c r="B13" s="31"/>
      <c r="C13" s="32"/>
      <c r="D13" s="32"/>
      <c r="E13" s="32"/>
      <c r="F13" s="33"/>
    </row>
    <row r="14" s="29" customFormat="true" ht="21.75" hidden="false" customHeight="true" outlineLevel="0" collapsed="false">
      <c r="A14" s="30"/>
      <c r="B14" s="31"/>
      <c r="C14" s="32"/>
      <c r="D14" s="32"/>
      <c r="E14" s="32"/>
      <c r="F14" s="33"/>
    </row>
    <row r="15" s="29" customFormat="true" ht="19.5" hidden="false" customHeight="true" outlineLevel="0" collapsed="false">
      <c r="A15" s="30"/>
      <c r="B15" s="31"/>
      <c r="C15" s="32"/>
      <c r="D15" s="32"/>
      <c r="E15" s="32"/>
      <c r="F15" s="33"/>
    </row>
    <row r="16" s="29" customFormat="true" ht="21.75" hidden="false" customHeight="true" outlineLevel="0" collapsed="false">
      <c r="A16" s="30"/>
      <c r="B16" s="31"/>
      <c r="C16" s="32"/>
      <c r="D16" s="32"/>
      <c r="E16" s="32"/>
      <c r="F16" s="33"/>
    </row>
    <row r="17" s="29" customFormat="true" ht="19.5" hidden="false" customHeight="true" outlineLevel="0" collapsed="false">
      <c r="A17" s="34"/>
      <c r="B17" s="35"/>
      <c r="C17" s="36"/>
      <c r="D17" s="36"/>
      <c r="E17" s="36"/>
      <c r="F17" s="37"/>
    </row>
  </sheetData>
  <mergeCells count="4">
    <mergeCell ref="B2:F2"/>
    <mergeCell ref="B4:D4"/>
    <mergeCell ref="B5:D5"/>
    <mergeCell ref="B6:D6"/>
  </mergeCells>
  <printOptions headings="false" gridLines="false" gridLinesSet="true" horizontalCentered="false" verticalCentered="false"/>
  <pageMargins left="0.470138888888889" right="0.470138888888889" top="0.5" bottom="0.351388888888889" header="0.511811023622047" footer="0.170138888888889"/>
  <pageSetup paperSize="9" fitToWidth="1" fitToHeight="0" pageOrder="downThenOver" orientation="landscape" blackAndWhite="false" draft="false" cellComments="none" horizontalDpi="300" verticalDpi="300" copies="1"/>
  <headerFooter differentFirst="false" differentOddEven="false">
    <oddHeader/>
    <oddFooter>&amp;L&amp;"Tahoma,Regular"&amp;8 02ae-BM/PM/HDCV/FSOFT v2/1&amp;C&amp;"Tahoma,Regular"&amp;8 Internal use&amp;R&amp;"tahomaTahoma,Regular"&amp;8 &amp;P/&amp;N</oddFooter>
  </headerFooter>
  <drawing ns1:id="rId2"/>
  <legacyDrawing ns1:id="rId3"/>
</worksheet>
</file>

<file path=xl/worksheets/sheet2.xml><?xml version="1.0" encoding="utf-8"?>
<worksheet xmlns="http://schemas.openxmlformats.org/spreadsheetml/2006/main">
  <sheetPr filterMode="false">
    <pageSetUpPr fitToPage="true"/>
  </sheetPr>
  <dimension ref="B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D13" activeCellId="0" sqref="D13"/>
    </sheetView>
  </sheetViews>
  <sheetFormatPr defaultColWidth="9.00390625" defaultRowHeight="12.75" customHeight="false" zeroHeight="false" outlineLevelRow="0" outlineLevelCol="0"/>
  <cols>
    <col collapsed="false" customWidth="true" hidden="false" outlineLevel="0" max="1" min="1" style="38" width="1.37"/>
    <col collapsed="false" customWidth="true" hidden="false" outlineLevel="0" max="2" min="2" style="39" width="7"/>
    <col collapsed="false" customWidth="true" hidden="false" outlineLevel="0" max="3" min="3" style="40" width="48"/>
    <col collapsed="false" customWidth="true" hidden="false" outlineLevel="0" max="4" min="4" style="40" width="16"/>
    <col collapsed="false" customWidth="true" hidden="false" outlineLevel="0" max="5" min="5" style="40" width="40"/>
    <col collapsed="false" customWidth="true" hidden="false" outlineLevel="0" max="6" min="6" style="40" width="55"/>
    <col collapsed="false" customWidth="false" hidden="false" outlineLevel="0" max="16384" min="7" style="38" width="9"/>
  </cols>
  <sheetData>
    <row r="1" customFormat="false" ht="25.5" hidden="false" customHeight="true" outlineLevel="0" collapsed="false">
      <c r="B1" s="41"/>
      <c r="D1" s="42" t="s">
        <v>22</v>
      </c>
      <c r="E1" s="43"/>
    </row>
    <row r="2" customFormat="false" ht="13.5" hidden="false" customHeight="true" outlineLevel="0" collapsed="false">
      <c r="B2" s="41"/>
      <c r="D2" s="44"/>
      <c r="E2" s="44"/>
    </row>
    <row r="3" customFormat="false" ht="15.65" hidden="false" customHeight="true" outlineLevel="0" collapsed="false">
      <c r="B3" s="45" t="s">
        <v>1</v>
      </c>
      <c r="C3" s="45"/>
      <c r="D3" s="46" t="s">
        <v>2</v>
      </c>
      <c r="E3" s="46"/>
      <c r="F3" s="46"/>
    </row>
    <row r="4" customFormat="false" ht="15.65" hidden="false" customHeight="true" outlineLevel="0" collapsed="false">
      <c r="B4" s="45" t="s">
        <v>5</v>
      </c>
      <c r="C4" s="45"/>
      <c r="D4" s="46" t="s">
        <v>6</v>
      </c>
      <c r="E4" s="46"/>
      <c r="F4" s="46"/>
    </row>
    <row r="5" s="47" customFormat="true" ht="84.75" hidden="false" customHeight="true" outlineLevel="0" collapsed="false">
      <c r="B5" s="48" t="s">
        <v>23</v>
      </c>
      <c r="C5" s="48"/>
      <c r="D5" s="46" t="s">
        <v>24</v>
      </c>
      <c r="E5" s="46"/>
      <c r="F5" s="46"/>
    </row>
    <row r="6" customFormat="false" ht="15" hidden="false" customHeight="false" outlineLevel="0" collapsed="false">
      <c r="B6" s="49"/>
      <c r="C6" s="50"/>
      <c r="D6" s="50"/>
      <c r="E6" s="50"/>
      <c r="F6" s="50"/>
    </row>
    <row r="7" s="51" customFormat="true" ht="15" hidden="false" customHeight="false" outlineLevel="0" collapsed="false">
      <c r="B7" s="52"/>
      <c r="C7" s="53"/>
      <c r="D7" s="53"/>
      <c r="E7" s="53"/>
      <c r="F7" s="53"/>
    </row>
    <row r="8" s="54" customFormat="true" ht="21" hidden="false" customHeight="true" outlineLevel="0" collapsed="false">
      <c r="B8" s="55" t="s">
        <v>25</v>
      </c>
      <c r="C8" s="56" t="s">
        <v>26</v>
      </c>
      <c r="D8" s="56" t="s">
        <v>27</v>
      </c>
      <c r="E8" s="57" t="s">
        <v>28</v>
      </c>
      <c r="F8" s="58" t="s">
        <v>29</v>
      </c>
    </row>
    <row r="9" customFormat="false" ht="66" hidden="false" customHeight="true" outlineLevel="0" collapsed="false">
      <c r="B9" s="59" t="n">
        <v>1</v>
      </c>
      <c r="C9" s="60" t="s">
        <v>30</v>
      </c>
      <c r="D9" s="61" t="s">
        <v>31</v>
      </c>
      <c r="E9" s="62" t="s">
        <v>32</v>
      </c>
      <c r="F9" s="63" t="s">
        <v>33</v>
      </c>
    </row>
    <row r="10" customFormat="false" ht="66" hidden="false" customHeight="true" outlineLevel="0" collapsed="false">
      <c r="B10" s="59" t="n">
        <v>2</v>
      </c>
      <c r="C10" s="60" t="s">
        <v>34</v>
      </c>
      <c r="D10" s="61" t="s">
        <v>31</v>
      </c>
      <c r="E10" s="62" t="s">
        <v>32</v>
      </c>
      <c r="F10" s="63" t="s">
        <v>35</v>
      </c>
    </row>
    <row r="11" customFormat="false" ht="66" hidden="false" customHeight="true" outlineLevel="0" collapsed="false">
      <c r="B11" s="59" t="n">
        <v>3</v>
      </c>
      <c r="C11" s="60" t="s">
        <v>36</v>
      </c>
      <c r="D11" s="61" t="s">
        <v>31</v>
      </c>
      <c r="E11" s="62" t="s">
        <v>32</v>
      </c>
      <c r="F11" s="63" t="s">
        <v>37</v>
      </c>
    </row>
    <row r="12" customFormat="false" ht="66" hidden="false" customHeight="true" outlineLevel="0" collapsed="false">
      <c r="B12" s="59" t="n">
        <v>4</v>
      </c>
      <c r="C12" s="60" t="s">
        <v>38</v>
      </c>
      <c r="D12" s="61" t="s">
        <v>31</v>
      </c>
      <c r="E12" s="62" t="s">
        <v>39</v>
      </c>
      <c r="F12" s="63" t="s">
        <v>40</v>
      </c>
    </row>
    <row r="13" customFormat="false" ht="66" hidden="false" customHeight="true" outlineLevel="0" collapsed="false">
      <c r="B13" s="59" t="n">
        <v>5</v>
      </c>
      <c r="C13" s="60" t="s">
        <v>41</v>
      </c>
      <c r="D13" s="61" t="s">
        <v>31</v>
      </c>
      <c r="E13" s="62" t="s">
        <v>32</v>
      </c>
      <c r="F13" s="63" t="s">
        <v>42</v>
      </c>
    </row>
    <row r="14" customFormat="false" ht="66" hidden="false" customHeight="true" outlineLevel="0" collapsed="false">
      <c r="B14" s="59" t="n">
        <v>6</v>
      </c>
      <c r="C14" s="60" t="s">
        <v>43</v>
      </c>
      <c r="D14" s="61" t="s">
        <v>31</v>
      </c>
      <c r="E14" s="62" t="s">
        <v>44</v>
      </c>
      <c r="F14" s="63" t="s">
        <v>45</v>
      </c>
    </row>
    <row r="15" customFormat="false" ht="66" hidden="false" customHeight="true" outlineLevel="0" collapsed="false">
      <c r="B15" s="59" t="n">
        <v>7</v>
      </c>
      <c r="C15" s="60" t="s">
        <v>46</v>
      </c>
      <c r="D15" s="61" t="s">
        <v>31</v>
      </c>
      <c r="E15" s="62" t="s">
        <v>47</v>
      </c>
      <c r="F15" s="63" t="s">
        <v>48</v>
      </c>
    </row>
    <row r="16" customFormat="false" ht="66" hidden="false" customHeight="true" outlineLevel="0" collapsed="false">
      <c r="B16" s="59" t="n">
        <v>8</v>
      </c>
      <c r="C16" s="60" t="s">
        <v>49</v>
      </c>
      <c r="D16" s="61" t="s">
        <v>31</v>
      </c>
      <c r="E16" s="62" t="s">
        <v>50</v>
      </c>
      <c r="F16" s="63" t="s">
        <v>51</v>
      </c>
    </row>
    <row r="17" customFormat="false" ht="66" hidden="false" customHeight="true" outlineLevel="0" collapsed="false">
      <c r="B17" s="59" t="n">
        <v>9</v>
      </c>
      <c r="C17" s="60" t="s">
        <v>52</v>
      </c>
      <c r="D17" s="61" t="s">
        <v>31</v>
      </c>
      <c r="E17" s="62" t="s">
        <v>53</v>
      </c>
      <c r="F17" s="63" t="s">
        <v>54</v>
      </c>
    </row>
    <row r="18" customFormat="false" ht="66" hidden="false" customHeight="true" outlineLevel="0" collapsed="false">
      <c r="B18" s="59" t="n">
        <v>10</v>
      </c>
      <c r="C18" s="60" t="s">
        <v>55</v>
      </c>
      <c r="D18" s="61" t="s">
        <v>31</v>
      </c>
      <c r="E18" s="62" t="s">
        <v>56</v>
      </c>
      <c r="F18" s="63" t="s">
        <v>57</v>
      </c>
    </row>
    <row r="19" customFormat="false" ht="66" hidden="false" customHeight="true" outlineLevel="0" collapsed="false">
      <c r="B19" s="59" t="n">
        <v>11</v>
      </c>
      <c r="C19" s="60" t="s">
        <v>58</v>
      </c>
      <c r="D19" s="61" t="s">
        <v>31</v>
      </c>
      <c r="E19" s="62" t="s">
        <v>59</v>
      </c>
      <c r="F19" s="63" t="s">
        <v>60</v>
      </c>
    </row>
    <row r="20" customFormat="false" ht="66" hidden="false" customHeight="true" outlineLevel="0" collapsed="false">
      <c r="B20" s="59" t="n">
        <v>12</v>
      </c>
      <c r="C20" s="60" t="s">
        <v>61</v>
      </c>
      <c r="D20" s="61" t="s">
        <v>31</v>
      </c>
      <c r="E20" s="62" t="s">
        <v>62</v>
      </c>
      <c r="F20" s="63" t="s">
        <v>63</v>
      </c>
    </row>
    <row r="21" customFormat="false" ht="66" hidden="false" customHeight="true" outlineLevel="0" collapsed="false">
      <c r="B21" s="59" t="n">
        <v>13</v>
      </c>
      <c r="C21" s="60" t="s">
        <v>64</v>
      </c>
      <c r="D21" s="61" t="s">
        <v>31</v>
      </c>
      <c r="E21" s="62" t="s">
        <v>65</v>
      </c>
      <c r="F21" s="63" t="s">
        <v>66</v>
      </c>
    </row>
    <row r="22" customFormat="false" ht="66" hidden="false" customHeight="true" outlineLevel="0" collapsed="false">
      <c r="B22" s="59" t="n">
        <v>14</v>
      </c>
      <c r="C22" s="60" t="s">
        <v>67</v>
      </c>
      <c r="D22" s="61" t="s">
        <v>31</v>
      </c>
      <c r="E22" s="62" t="s">
        <v>68</v>
      </c>
      <c r="F22" s="63" t="s">
        <v>69</v>
      </c>
    </row>
    <row r="23" customFormat="false" ht="66" hidden="false" customHeight="true" outlineLevel="0" collapsed="false">
      <c r="B23" s="59" t="n">
        <v>15</v>
      </c>
      <c r="C23" s="60" t="s">
        <v>70</v>
      </c>
      <c r="D23" s="61" t="s">
        <v>31</v>
      </c>
      <c r="E23" s="62" t="s">
        <v>71</v>
      </c>
      <c r="F23" s="63" t="s">
        <v>72</v>
      </c>
    </row>
    <row r="24" customFormat="false" ht="66" hidden="false" customHeight="true" outlineLevel="0" collapsed="false">
      <c r="B24" s="59" t="n">
        <v>16</v>
      </c>
      <c r="C24" s="60" t="s">
        <v>73</v>
      </c>
      <c r="D24" s="61" t="s">
        <v>31</v>
      </c>
      <c r="E24" s="62" t="s">
        <v>74</v>
      </c>
      <c r="F24" s="63" t="s">
        <v>75</v>
      </c>
    </row>
    <row r="25" customFormat="false" ht="66" hidden="false" customHeight="true" outlineLevel="0" collapsed="false">
      <c r="B25" s="59" t="n">
        <v>17</v>
      </c>
      <c r="C25" s="60" t="s">
        <v>76</v>
      </c>
      <c r="D25" s="61" t="s">
        <v>31</v>
      </c>
      <c r="E25" s="62" t="s">
        <v>77</v>
      </c>
      <c r="F25" s="63" t="s">
        <v>78</v>
      </c>
    </row>
    <row r="26" customFormat="false" ht="66" hidden="false" customHeight="true" outlineLevel="0" collapsed="false">
      <c r="B26" s="59" t="n">
        <v>18</v>
      </c>
      <c r="C26" s="60" t="s">
        <v>79</v>
      </c>
      <c r="D26" s="61" t="s">
        <v>31</v>
      </c>
      <c r="E26" s="62" t="s">
        <v>80</v>
      </c>
      <c r="F26" s="63" t="s">
        <v>81</v>
      </c>
    </row>
    <row r="27" customFormat="false" ht="66" hidden="false" customHeight="true" outlineLevel="0" collapsed="false">
      <c r="B27" s="59" t="n">
        <v>19</v>
      </c>
      <c r="C27" s="60" t="s">
        <v>82</v>
      </c>
      <c r="D27" s="61" t="s">
        <v>31</v>
      </c>
      <c r="E27" s="62" t="s">
        <v>83</v>
      </c>
      <c r="F27" s="63" t="s">
        <v>84</v>
      </c>
    </row>
    <row r="28" customFormat="false" ht="66" hidden="false" customHeight="true" outlineLevel="0" collapsed="false">
      <c r="B28" s="59" t="n">
        <v>20</v>
      </c>
      <c r="C28" s="60" t="s">
        <v>85</v>
      </c>
      <c r="D28" s="61" t="s">
        <v>31</v>
      </c>
      <c r="E28" s="62" t="s">
        <v>86</v>
      </c>
      <c r="F28" s="63" t="s">
        <v>87</v>
      </c>
    </row>
    <row r="29" customFormat="false" ht="66" hidden="false" customHeight="true" outlineLevel="0" collapsed="false">
      <c r="B29" s="59" t="n">
        <v>21</v>
      </c>
      <c r="C29" s="60" t="s">
        <v>88</v>
      </c>
      <c r="D29" s="61" t="s">
        <v>31</v>
      </c>
      <c r="E29" s="62" t="s">
        <v>89</v>
      </c>
      <c r="F29" s="63" t="s">
        <v>90</v>
      </c>
    </row>
    <row r="30" customFormat="false" ht="66" hidden="false" customHeight="true" outlineLevel="0" collapsed="false">
      <c r="B30" s="59" t="n">
        <v>22</v>
      </c>
      <c r="C30" s="60" t="s">
        <v>91</v>
      </c>
      <c r="D30" s="61" t="s">
        <v>92</v>
      </c>
      <c r="E30" s="62" t="s">
        <v>93</v>
      </c>
      <c r="F30" s="63" t="s">
        <v>94</v>
      </c>
    </row>
    <row r="31" customFormat="false" ht="66" hidden="false" customHeight="true" outlineLevel="0" collapsed="false">
      <c r="B31" s="59" t="n">
        <v>23</v>
      </c>
      <c r="C31" s="60" t="s">
        <v>95</v>
      </c>
      <c r="D31" s="61" t="s">
        <v>92</v>
      </c>
      <c r="E31" s="62" t="s">
        <v>96</v>
      </c>
      <c r="F31" s="63" t="s">
        <v>97</v>
      </c>
    </row>
    <row r="32" customFormat="false" ht="66" hidden="false" customHeight="true" outlineLevel="0" collapsed="false">
      <c r="B32" s="59" t="n">
        <v>24</v>
      </c>
      <c r="C32" s="60" t="s">
        <v>98</v>
      </c>
      <c r="D32" s="61" t="s">
        <v>92</v>
      </c>
      <c r="E32" s="62" t="s">
        <v>99</v>
      </c>
      <c r="F32" s="63" t="s">
        <v>100</v>
      </c>
    </row>
    <row r="33" customFormat="false" ht="66" hidden="false" customHeight="true" outlineLevel="0" collapsed="false">
      <c r="B33" s="59" t="n">
        <v>25</v>
      </c>
      <c r="C33" s="60" t="s">
        <v>101</v>
      </c>
      <c r="D33" s="61" t="s">
        <v>92</v>
      </c>
      <c r="E33" s="62" t="s">
        <v>102</v>
      </c>
      <c r="F33" s="63" t="s">
        <v>103</v>
      </c>
    </row>
    <row r="34" customFormat="false" ht="66" hidden="false" customHeight="true" outlineLevel="0" collapsed="false">
      <c r="B34" s="59" t="n">
        <v>26</v>
      </c>
      <c r="C34" s="60" t="s">
        <v>104</v>
      </c>
      <c r="D34" s="61" t="s">
        <v>92</v>
      </c>
      <c r="E34" s="62" t="s">
        <v>105</v>
      </c>
      <c r="F34" s="63" t="s">
        <v>106</v>
      </c>
    </row>
    <row r="35" customFormat="false" ht="66" hidden="false" customHeight="true" outlineLevel="0" collapsed="false">
      <c r="B35" s="59" t="n">
        <v>27</v>
      </c>
      <c r="C35" s="60" t="s">
        <v>107</v>
      </c>
      <c r="D35" s="61" t="s">
        <v>92</v>
      </c>
      <c r="E35" s="62" t="s">
        <v>108</v>
      </c>
      <c r="F35" s="63" t="s">
        <v>109</v>
      </c>
    </row>
  </sheetData>
  <mergeCells count="6">
    <mergeCell ref="B3:C3"/>
    <mergeCell ref="D3:F3"/>
    <mergeCell ref="B4:C4"/>
    <mergeCell ref="D4:F4"/>
    <mergeCell ref="B5:C5"/>
    <mergeCell ref="D5:F5"/>
  </mergeCells>
  <hyperlinks>
    <hyperlink ref="D9" location="'Feature 1'!A1" display="Feature 1"/>
    <hyperlink ref="D10" location="'Feature 1'!A1" display="Feature 1"/>
    <hyperlink ref="D11" location="'Feature 1'!A1" display="Feature 1"/>
    <hyperlink ref="D12" location="'Feature 1'!A1" display="Feature 1"/>
    <hyperlink ref="D13" location="'Feature 1'!A1" display="Feature 1"/>
    <hyperlink ref="D14" location="'Feature 1'!A1" display="Feature 1"/>
    <hyperlink ref="D15" location="'Feature 1'!A1" display="Feature 1"/>
    <hyperlink ref="D16" location="'Feature 1'!A1" display="Feature 1"/>
    <hyperlink ref="D17" location="'Feature 1'!A1" display="Feature 1"/>
    <hyperlink ref="D18" location="'Feature 1'!A1" display="Feature 1"/>
    <hyperlink ref="D19" location="'Feature 1'!A1" display="Feature 1"/>
    <hyperlink ref="D20" location="'Feature 1'!A1" display="Feature 1"/>
    <hyperlink ref="D21" location="'Feature 1'!A1" display="Feature 1"/>
    <hyperlink ref="D22" location="'Feature 1'!A1" display="Feature 1"/>
    <hyperlink ref="D23" location="'Feature 1'!A1" display="Feature 1"/>
    <hyperlink ref="D24" location="'Feature 1'!A1" display="Feature 1"/>
    <hyperlink ref="D25" location="'Feature 1'!A1" display="Feature 1"/>
    <hyperlink ref="D26" location="'Feature 1'!A1" display="Feature 1"/>
    <hyperlink ref="D27" location="'Feature 1'!A1" display="Feature 1"/>
    <hyperlink ref="D28" location="'Feature 1'!A1" display="Feature 1"/>
    <hyperlink ref="D29" location="'Feature 1'!A1" display="Feature 1"/>
    <hyperlink ref="D30" location="'Feature 2'!A1" display="Feature 2"/>
    <hyperlink ref="D31" location="'Feature 2'!A1" display="Feature 2"/>
    <hyperlink ref="D32" location="'Feature 2'!A1" display="Feature 2"/>
    <hyperlink ref="D33" location="'Feature 2'!A1" display="Feature 2"/>
    <hyperlink ref="D34" location="'Feature 2'!A1" display="Feature 2"/>
    <hyperlink ref="D35" location="'Feature 2'!A1" display="Feature 2"/>
  </hyperlinks>
  <printOptions headings="false" gridLines="false" gridLinesSet="true" horizontalCentered="false" verticalCentered="false"/>
  <pageMargins left="0.747916666666667" right="0.747916666666667" top="0.984027777777778" bottom="1.15069444444444" header="0.511811023622047" footer="0.984027777777778"/>
  <pageSetup paperSize="9" fitToWidth="1" fitToHeight="0" pageOrder="downThenOver" orientation="landscape" blackAndWhite="false" draft="false" cellComments="none" horizontalDpi="300" verticalDpi="300" copies="1"/>
  <headerFooter differentFirst="false" differentOddEven="false">
    <oddHeader/>
    <oddFooter>&amp;L&amp;"Tahoma,Regular"&amp;8 02ae-BM/PM/HDCV/FSOFT v2/0&amp;C&amp;"tahoma,Regular"&amp;8 Internal use&amp;R&amp;"tahoma,Regular"&amp;8 &amp;P/&amp;N</oddFooter>
  </headerFooter>
</worksheet>
</file>

<file path=xl/worksheets/sheet3.xml><?xml version="1.0" encoding="utf-8"?>
<worksheet xmlns="http://schemas.openxmlformats.org/spreadsheetml/2006/main">
  <sheetPr filterMode="false">
    <pageSetUpPr fitToPage="tru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B2" activeCellId="0" sqref="B2"/>
    </sheetView>
  </sheetViews>
  <sheetFormatPr defaultColWidth="9.00390625" defaultRowHeight="12.75" customHeight="false" zeroHeight="false" outlineLevelRow="0" outlineLevelCol="0"/>
  <cols>
    <col collapsed="false" customWidth="true" hidden="false" outlineLevel="0" max="1" min="1" style="38" width="4.5"/>
    <col collapsed="false" customWidth="true" hidden="false" outlineLevel="0" max="3" min="2" style="38" width="34"/>
    <col collapsed="false" customWidth="true" hidden="false" outlineLevel="0" max="6" min="4" style="38" width="20"/>
    <col collapsed="false" customWidth="true" hidden="false" outlineLevel="0" max="7" min="7" style="38" width="18"/>
    <col collapsed="false" customWidth="true" hidden="false" outlineLevel="0" max="8" min="8" style="38" width="22"/>
    <col collapsed="false" customWidth="true" hidden="false" outlineLevel="0" max="9" min="9" style="38" width="33.12"/>
    <col collapsed="false" customWidth="false" hidden="false" outlineLevel="0" max="16384" min="10" style="38" width="9"/>
  </cols>
  <sheetData>
    <row r="1" customFormat="false" ht="25.5" hidden="false" customHeight="true" outlineLevel="0" collapsed="false">
      <c r="B1" s="64" t="s">
        <v>110</v>
      </c>
      <c r="C1" s="64"/>
      <c r="D1" s="64"/>
      <c r="E1" s="64"/>
      <c r="F1" s="64"/>
      <c r="G1" s="64"/>
      <c r="H1" s="64"/>
    </row>
    <row r="2" customFormat="false" ht="14.25" hidden="false" customHeight="true" outlineLevel="0" collapsed="false">
      <c r="A2" s="65"/>
      <c r="B2" s="65"/>
      <c r="C2" s="66"/>
      <c r="D2" s="66"/>
      <c r="E2" s="66"/>
      <c r="F2" s="66"/>
      <c r="G2" s="66"/>
      <c r="H2" s="67"/>
    </row>
    <row r="3" customFormat="false" ht="30" hidden="false" customHeight="true" outlineLevel="0" collapsed="false">
      <c r="B3" s="68" t="s">
        <v>1</v>
      </c>
      <c r="C3" s="46" t="s">
        <v>2</v>
      </c>
      <c r="D3" s="46"/>
      <c r="E3" s="69" t="s">
        <v>4</v>
      </c>
      <c r="F3" s="69"/>
      <c r="G3" s="70"/>
      <c r="H3" s="71"/>
    </row>
    <row r="4" customFormat="false" ht="24" hidden="false" customHeight="true" outlineLevel="0" collapsed="false">
      <c r="B4" s="68" t="s">
        <v>5</v>
      </c>
      <c r="C4" s="46" t="s">
        <v>6</v>
      </c>
      <c r="D4" s="46"/>
      <c r="E4" s="69" t="s">
        <v>111</v>
      </c>
      <c r="F4" s="69"/>
      <c r="G4" s="70"/>
      <c r="H4" s="71"/>
    </row>
    <row r="5" customFormat="false" ht="24" hidden="false" customHeight="true" outlineLevel="0" collapsed="false">
      <c r="B5" s="72" t="s">
        <v>8</v>
      </c>
      <c r="C5" s="46" t="s">
        <v>9</v>
      </c>
      <c r="D5" s="46"/>
      <c r="E5" s="73" t="s">
        <v>7</v>
      </c>
      <c r="F5" s="73"/>
      <c r="G5" s="70"/>
      <c r="H5" s="74" t="n">
        <v>46226</v>
      </c>
    </row>
    <row r="6" customFormat="false" ht="36" hidden="false" customHeight="true" outlineLevel="0" collapsed="false">
      <c r="A6" s="65"/>
      <c r="B6" s="72" t="s">
        <v>112</v>
      </c>
      <c r="C6" s="75" t="s">
        <v>113</v>
      </c>
      <c r="D6" s="75"/>
      <c r="E6" s="75"/>
      <c r="F6" s="75"/>
      <c r="G6" s="75"/>
      <c r="H6" s="75"/>
    </row>
    <row r="7" customFormat="false" ht="14.25" hidden="false" customHeight="true" outlineLevel="0" collapsed="false">
      <c r="A7" s="65"/>
      <c r="B7" s="76"/>
      <c r="C7" s="77"/>
      <c r="D7" s="66"/>
      <c r="E7" s="66"/>
      <c r="F7" s="66"/>
      <c r="G7" s="66"/>
      <c r="H7" s="67"/>
    </row>
    <row r="8" customFormat="false" ht="15" hidden="false" customHeight="false" outlineLevel="0" collapsed="false">
      <c r="B8" s="76"/>
      <c r="C8" s="77"/>
      <c r="D8" s="66"/>
      <c r="E8" s="66"/>
      <c r="F8" s="66"/>
      <c r="G8" s="66"/>
      <c r="H8" s="67"/>
    </row>
    <row r="9" customFormat="false" ht="15" hidden="false" customHeight="false" outlineLevel="0" collapsed="false">
      <c r="A9" s="50"/>
      <c r="B9" s="50"/>
      <c r="C9" s="50"/>
      <c r="D9" s="50"/>
      <c r="E9" s="50"/>
      <c r="F9" s="50"/>
      <c r="G9" s="50"/>
      <c r="H9" s="50"/>
    </row>
    <row r="10" customFormat="false" ht="33.75" hidden="false" customHeight="true" outlineLevel="0" collapsed="false">
      <c r="A10" s="78"/>
      <c r="B10" s="79" t="s">
        <v>25</v>
      </c>
      <c r="C10" s="80" t="s">
        <v>114</v>
      </c>
      <c r="D10" s="81" t="s">
        <v>115</v>
      </c>
      <c r="E10" s="80" t="s">
        <v>116</v>
      </c>
      <c r="F10" s="80" t="s">
        <v>117</v>
      </c>
      <c r="G10" s="82" t="s">
        <v>118</v>
      </c>
      <c r="H10" s="83" t="s">
        <v>119</v>
      </c>
    </row>
    <row r="11" customFormat="false" ht="29.85" hidden="false" customHeight="false" outlineLevel="0" collapsed="false">
      <c r="A11" s="78"/>
      <c r="B11" s="84" t="n">
        <v>1</v>
      </c>
      <c r="C11" s="85" t="s">
        <v>120</v>
      </c>
      <c r="D11" s="86" t="n">
        <f aca="false">COUNTIF('Feature 1'!$F$12:$F$32,"Passed")</f>
        <v>21</v>
      </c>
      <c r="E11" s="86" t="n">
        <f aca="false">COUNTIF('Feature 1'!$F$12:$F$32,"Failed")</f>
        <v>0</v>
      </c>
      <c r="F11" s="86" t="n">
        <f aca="false">COUNTIF('Feature 1'!$F$12:$F$32,"Pending")</f>
        <v>0</v>
      </c>
      <c r="G11" s="86" t="n">
        <f aca="false">COUNTIF('Feature 1'!$F$12:$F$32,"Blocked")</f>
        <v>0</v>
      </c>
      <c r="H11" s="87" t="n">
        <f aca="false">SUM(D11:G11)</f>
        <v>21</v>
      </c>
    </row>
    <row r="12" customFormat="false" ht="15.65" hidden="false" customHeight="false" outlineLevel="0" collapsed="false">
      <c r="A12" s="78"/>
      <c r="B12" s="84" t="n">
        <v>2</v>
      </c>
      <c r="C12" s="85" t="s">
        <v>121</v>
      </c>
      <c r="D12" s="86" t="n">
        <f aca="false">COUNTIF('Feature 2'!$F$12:$F$17,"Passed")</f>
        <v>0</v>
      </c>
      <c r="E12" s="86" t="n">
        <f aca="false">COUNTIF('Feature 2'!$F$12:$F$17,"Failed")</f>
        <v>0</v>
      </c>
      <c r="F12" s="86" t="n">
        <f aca="false">COUNTIF('Feature 2'!$F$12:$F$17,"Pending")</f>
        <v>6</v>
      </c>
      <c r="G12" s="86" t="n">
        <f aca="false">COUNTIF('Feature 2'!$F$12:$F$17,"Blocked")</f>
        <v>0</v>
      </c>
      <c r="H12" s="86" t="n">
        <f aca="false">SUM(D12:G12)</f>
        <v>6</v>
      </c>
    </row>
    <row r="13" customFormat="false" ht="15" hidden="false" customHeight="false" outlineLevel="0" collapsed="false">
      <c r="A13" s="78"/>
      <c r="B13" s="84"/>
      <c r="C13" s="88"/>
      <c r="D13" s="86"/>
      <c r="E13" s="86"/>
      <c r="F13" s="86"/>
      <c r="G13" s="89"/>
      <c r="H13" s="87"/>
    </row>
    <row r="14" customFormat="false" ht="15" hidden="false" customHeight="false" outlineLevel="0" collapsed="false">
      <c r="A14" s="78"/>
      <c r="B14" s="90"/>
      <c r="C14" s="91" t="s">
        <v>122</v>
      </c>
      <c r="D14" s="92" t="n">
        <f aca="false">SUM(D11:D12)</f>
        <v>21</v>
      </c>
      <c r="E14" s="92" t="n">
        <f aca="false">SUM(E11:E12)</f>
        <v>0</v>
      </c>
      <c r="F14" s="92" t="n">
        <f aca="false">SUM(F11:F12)</f>
        <v>6</v>
      </c>
      <c r="G14" s="92" t="n">
        <f aca="false">SUM(G11:G12)</f>
        <v>0</v>
      </c>
      <c r="H14" s="93" t="n">
        <f aca="false">SUM(H11:H12)</f>
        <v>27</v>
      </c>
    </row>
    <row r="15" customFormat="false" ht="15" hidden="false" customHeight="false" outlineLevel="0" collapsed="false">
      <c r="A15" s="50"/>
      <c r="B15" s="94"/>
      <c r="C15" s="50"/>
      <c r="D15" s="95"/>
      <c r="E15" s="96"/>
      <c r="F15" s="96"/>
      <c r="G15" s="96"/>
      <c r="H15" s="96"/>
    </row>
    <row r="16" customFormat="false" ht="36" hidden="false" customHeight="true" outlineLevel="0" collapsed="false">
      <c r="A16" s="50"/>
      <c r="B16" s="50"/>
      <c r="C16" s="97" t="s">
        <v>123</v>
      </c>
      <c r="D16" s="50"/>
      <c r="E16" s="98" t="n">
        <f aca="false">IFERROR((D14+E14)/(H14),0)</f>
        <v>0.777777777777778</v>
      </c>
      <c r="F16" s="99"/>
      <c r="G16" s="50"/>
      <c r="H16" s="100"/>
    </row>
    <row r="17" customFormat="false" ht="36" hidden="false" customHeight="true" outlineLevel="0" collapsed="false">
      <c r="A17" s="50"/>
      <c r="B17" s="50"/>
      <c r="C17" s="97" t="s">
        <v>124</v>
      </c>
      <c r="D17" s="50"/>
      <c r="E17" s="98" t="n">
        <f aca="false">IFERROR(D14/(D14+E14),0)</f>
        <v>1</v>
      </c>
      <c r="F17" s="99"/>
      <c r="G17" s="50"/>
      <c r="H17" s="100"/>
    </row>
    <row r="18" customFormat="false" ht="15" hidden="false" customHeight="false" outlineLevel="0" collapsed="false">
      <c r="C18" s="50"/>
      <c r="D18" s="50"/>
    </row>
    <row r="19" customFormat="false" ht="31.5" hidden="false" customHeight="true" outlineLevel="0" collapsed="false">
      <c r="B19" s="101" t="s">
        <v>125</v>
      </c>
      <c r="C19" s="101" t="s">
        <v>126</v>
      </c>
      <c r="D19" s="101" t="s">
        <v>127</v>
      </c>
      <c r="E19" s="101"/>
      <c r="F19" s="101"/>
      <c r="G19" s="101"/>
      <c r="H19" s="101"/>
    </row>
    <row r="20" customFormat="false" ht="33.75" hidden="false" customHeight="true" outlineLevel="0" collapsed="false">
      <c r="B20" s="102" t="s">
        <v>128</v>
      </c>
      <c r="C20" s="103" t="n">
        <v>27</v>
      </c>
      <c r="D20" s="104" t="s">
        <v>129</v>
      </c>
      <c r="E20" s="104"/>
      <c r="F20" s="104"/>
      <c r="G20" s="104"/>
      <c r="H20" s="104"/>
    </row>
    <row r="21" customFormat="false" ht="33.75" hidden="false" customHeight="true" outlineLevel="0" collapsed="false">
      <c r="B21" s="102" t="s">
        <v>130</v>
      </c>
      <c r="C21" s="103" t="n">
        <v>21</v>
      </c>
      <c r="D21" s="104" t="s">
        <v>131</v>
      </c>
      <c r="E21" s="104"/>
      <c r="F21" s="104"/>
      <c r="G21" s="104"/>
      <c r="H21" s="104"/>
    </row>
    <row r="22" customFormat="false" ht="33.75" hidden="false" customHeight="true" outlineLevel="0" collapsed="false">
      <c r="B22" s="102" t="s">
        <v>132</v>
      </c>
      <c r="C22" s="103" t="n">
        <v>21</v>
      </c>
      <c r="D22" s="104" t="s">
        <v>133</v>
      </c>
      <c r="E22" s="104"/>
      <c r="F22" s="104"/>
      <c r="G22" s="104"/>
      <c r="H22" s="104"/>
    </row>
    <row r="23" customFormat="false" ht="33.75" hidden="false" customHeight="true" outlineLevel="0" collapsed="false">
      <c r="B23" s="102" t="s">
        <v>134</v>
      </c>
      <c r="C23" s="103" t="n">
        <v>0</v>
      </c>
      <c r="D23" s="104" t="s">
        <v>135</v>
      </c>
      <c r="E23" s="104"/>
      <c r="F23" s="104"/>
      <c r="G23" s="104"/>
      <c r="H23" s="104"/>
    </row>
    <row r="24" customFormat="false" ht="33.75" hidden="false" customHeight="true" outlineLevel="0" collapsed="false">
      <c r="B24" s="102" t="s">
        <v>118</v>
      </c>
      <c r="C24" s="103" t="n">
        <v>0</v>
      </c>
      <c r="D24" s="104" t="s">
        <v>136</v>
      </c>
      <c r="E24" s="104"/>
      <c r="F24" s="104"/>
      <c r="G24" s="104"/>
      <c r="H24" s="104"/>
    </row>
    <row r="25" customFormat="false" ht="33.75" hidden="false" customHeight="true" outlineLevel="0" collapsed="false">
      <c r="B25" s="102" t="s">
        <v>137</v>
      </c>
      <c r="C25" s="103" t="n">
        <v>6</v>
      </c>
      <c r="D25" s="104" t="s">
        <v>138</v>
      </c>
      <c r="E25" s="104"/>
      <c r="F25" s="104"/>
      <c r="G25" s="104"/>
      <c r="H25" s="104"/>
    </row>
    <row r="26" customFormat="false" ht="43.5" hidden="false" customHeight="true" outlineLevel="0" collapsed="false">
      <c r="B26" s="102" t="s">
        <v>139</v>
      </c>
      <c r="C26" s="105" t="n">
        <v>1</v>
      </c>
      <c r="D26" s="104" t="s">
        <v>140</v>
      </c>
      <c r="E26" s="104"/>
      <c r="F26" s="104"/>
      <c r="G26" s="104"/>
      <c r="H26" s="104"/>
    </row>
    <row r="27" customFormat="false" ht="43.5" hidden="false" customHeight="true" outlineLevel="0" collapsed="false">
      <c r="B27" s="102" t="s">
        <v>141</v>
      </c>
      <c r="C27" s="105" t="n">
        <v>1</v>
      </c>
      <c r="D27" s="104" t="s">
        <v>140</v>
      </c>
      <c r="E27" s="104"/>
      <c r="F27" s="104"/>
      <c r="G27" s="104"/>
      <c r="H27" s="104"/>
    </row>
    <row r="28" customFormat="false" ht="43.5" hidden="false" customHeight="true" outlineLevel="0" collapsed="false">
      <c r="B28" s="102" t="s">
        <v>142</v>
      </c>
      <c r="C28" s="103" t="n">
        <v>160</v>
      </c>
      <c r="D28" s="104" t="s">
        <v>143</v>
      </c>
      <c r="E28" s="104"/>
      <c r="F28" s="104"/>
      <c r="G28" s="104"/>
      <c r="H28" s="104"/>
    </row>
    <row r="29" customFormat="false" ht="33.75" hidden="false" customHeight="true" outlineLevel="0" collapsed="false">
      <c r="B29" s="102" t="s">
        <v>144</v>
      </c>
      <c r="C29" s="103" t="n">
        <v>12</v>
      </c>
      <c r="D29" s="104" t="s">
        <v>145</v>
      </c>
      <c r="E29" s="104"/>
      <c r="F29" s="104"/>
      <c r="G29" s="104"/>
      <c r="H29" s="104"/>
    </row>
  </sheetData>
  <mergeCells count="19">
    <mergeCell ref="B1:H1"/>
    <mergeCell ref="C3:D3"/>
    <mergeCell ref="E3:F3"/>
    <mergeCell ref="C4:D4"/>
    <mergeCell ref="E4:F4"/>
    <mergeCell ref="C5:D5"/>
    <mergeCell ref="E5:F5"/>
    <mergeCell ref="C6:H6"/>
    <mergeCell ref="D19:H19"/>
    <mergeCell ref="D20:H20"/>
    <mergeCell ref="D21:H21"/>
    <mergeCell ref="D22:H22"/>
    <mergeCell ref="D23:H23"/>
    <mergeCell ref="D24:H24"/>
    <mergeCell ref="D25:H25"/>
    <mergeCell ref="D26:H26"/>
    <mergeCell ref="D27:H27"/>
    <mergeCell ref="D28:H28"/>
    <mergeCell ref="D29:H29"/>
  </mergeCells>
  <printOptions headings="false" gridLines="false" gridLinesSet="true" horizontalCentered="false" verticalCentered="false"/>
  <pageMargins left="0.747916666666667" right="0.747916666666667" top="0.984027777777778" bottom="0.984027777777778" header="0.511811023622047" footer="0.5"/>
  <pageSetup paperSize="1" fitToWidth="1" fitToHeight="0" pageOrder="downThenOver" orientation="landscape" blackAndWhite="false" draft="false" cellComments="none" horizontalDpi="300" verticalDpi="300" copies="1"/>
  <headerFooter differentFirst="false" differentOddEven="false">
    <oddHeader/>
    <oddFooter>&amp;L&amp;"Tahoma,Regular"&amp;8 02ae-BM/PM/HDCV/FSOFT v2/0&amp;C&amp;"tahoma,Regular"&amp;8 Internal use&amp;R&amp;"Tahoma,Regular"&amp;8 &amp;P/&amp;N</oddFooter>
  </headerFooter>
</worksheet>
</file>

<file path=xl/worksheets/sheet4.xml><?xml version="1.0" encoding="utf-8"?>
<worksheet xmlns="http://schemas.openxmlformats.org/spreadsheetml/2006/main" xmlns:ns1="http://schemas.openxmlformats.org/officeDocument/2006/relationships">
  <sheetPr filterMode="false">
    <outlinePr summaryBelow="0"/>
    <pageSetUpPr fitToPage="true"/>
  </sheetPr>
  <dimension ref="A1:R32"/>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0" topLeftCell="A11" activePane="bottomLeft" state="frozen"/>
      <selection pane="topLeft" activeCell="A1" activeCellId="0" sqref="A1"/>
      <selection pane="bottomLeft" activeCell="F12" activeCellId="0" sqref="F12"/>
    </sheetView>
  </sheetViews>
  <sheetFormatPr defaultColWidth="9.00390625" defaultRowHeight="12.75" customHeight="false" zeroHeight="false" outlineLevelRow="1" outlineLevelCol="1"/>
  <cols>
    <col collapsed="false" customWidth="true" hidden="false" outlineLevel="0" max="1" min="1" style="38" width="18"/>
    <col collapsed="false" customWidth="true" hidden="false" outlineLevel="0" max="2" min="2" style="38" width="45"/>
    <col collapsed="false" customWidth="true" hidden="false" outlineLevel="0" max="3" min="3" style="38" width="85"/>
    <col collapsed="false" customWidth="true" hidden="false" outlineLevel="0" max="4" min="4" style="38" width="48"/>
    <col collapsed="false" customWidth="true" hidden="false" outlineLevel="0" max="5" min="5" style="38" width="46"/>
    <col collapsed="false" customWidth="true" hidden="false" outlineLevel="0" max="6" min="6" style="38" width="12"/>
    <col collapsed="false" customWidth="true" hidden="false" outlineLevel="1" max="7" min="7" style="38" width="18"/>
    <col collapsed="false" customWidth="true" hidden="false" outlineLevel="1" max="8" min="8" style="38" width="16"/>
    <col collapsed="false" customWidth="true" hidden="false" outlineLevel="0" max="9" min="9" style="38" width="10"/>
    <col collapsed="false" customWidth="true" hidden="false" outlineLevel="1" max="11" min="10" style="38" width="14"/>
    <col collapsed="false" customWidth="true" hidden="false" outlineLevel="0" max="12" min="12" style="38" width="10"/>
    <col collapsed="false" customWidth="true" hidden="false" outlineLevel="1" max="14" min="13" style="38" width="14"/>
    <col collapsed="false" customWidth="true" hidden="false" outlineLevel="0" max="15" min="15" style="38" width="62"/>
    <col collapsed="false" customWidth="true" hidden="false" outlineLevel="0" max="16" min="16" style="38" width="10.12"/>
    <col collapsed="false" customWidth="true" hidden="false" outlineLevel="0" max="17" min="17" style="106" width="8.13"/>
    <col collapsed="false" customWidth="true" hidden="true" outlineLevel="0" max="18" min="18" style="38" width="7.63"/>
    <col collapsed="false" customWidth="false" hidden="false" outlineLevel="0" max="16384" min="19" style="38" width="9"/>
  </cols>
  <sheetData>
    <row r="1" s="114" customFormat="true" ht="36" hidden="false" customHeight="true" outlineLevel="0" collapsed="false">
      <c r="A1" s="107" t="s">
        <v>120</v>
      </c>
      <c r="B1" s="108" t="s">
        <v>120</v>
      </c>
      <c r="C1" s="108"/>
      <c r="D1" s="108"/>
      <c r="E1" s="108"/>
      <c r="F1" s="109"/>
      <c r="G1" s="110"/>
      <c r="H1" s="111"/>
      <c r="I1" s="109"/>
      <c r="J1" s="110"/>
      <c r="K1" s="111"/>
      <c r="L1" s="109"/>
      <c r="M1" s="110"/>
      <c r="N1" s="111"/>
      <c r="O1" s="111"/>
      <c r="P1" s="111"/>
      <c r="Q1" s="112"/>
      <c r="R1" s="113" t="s">
        <v>115</v>
      </c>
    </row>
    <row r="2" s="114" customFormat="true" ht="36" hidden="false" customHeight="true" outlineLevel="0" collapsed="false">
      <c r="A2" s="115" t="s">
        <v>146</v>
      </c>
      <c r="B2" s="116" t="s">
        <v>147</v>
      </c>
      <c r="C2" s="116"/>
      <c r="D2" s="116"/>
      <c r="E2" s="116"/>
      <c r="F2" s="109"/>
      <c r="G2" s="110"/>
      <c r="H2" s="111"/>
      <c r="I2" s="109"/>
      <c r="J2" s="110"/>
      <c r="K2" s="111"/>
      <c r="L2" s="109"/>
      <c r="M2" s="110"/>
      <c r="N2" s="111"/>
      <c r="O2" s="111"/>
      <c r="P2" s="111"/>
      <c r="Q2" s="112"/>
      <c r="R2" s="113" t="s">
        <v>116</v>
      </c>
    </row>
    <row r="3" s="114" customFormat="true" ht="36" hidden="false" customHeight="true" outlineLevel="0" collapsed="false">
      <c r="A3" s="115" t="s">
        <v>119</v>
      </c>
      <c r="B3" s="116" t="n">
        <f aca="false">COUNTA(A12:A32)</f>
        <v>21</v>
      </c>
      <c r="C3" s="116"/>
      <c r="D3" s="116"/>
      <c r="E3" s="116"/>
      <c r="F3" s="109"/>
      <c r="G3" s="110"/>
      <c r="H3" s="111"/>
      <c r="I3" s="109"/>
      <c r="J3" s="110"/>
      <c r="K3" s="111"/>
      <c r="L3" s="109"/>
      <c r="M3" s="110"/>
      <c r="N3" s="111"/>
      <c r="O3" s="111"/>
      <c r="P3" s="111"/>
      <c r="Q3" s="112"/>
      <c r="R3" s="113" t="s">
        <v>117</v>
      </c>
    </row>
    <row r="4" s="114" customFormat="true" ht="36" hidden="false" customHeight="true" outlineLevel="0" collapsed="false">
      <c r="A4" s="117" t="s">
        <v>148</v>
      </c>
      <c r="B4" s="118" t="s">
        <v>115</v>
      </c>
      <c r="C4" s="118" t="s">
        <v>116</v>
      </c>
      <c r="D4" s="118" t="s">
        <v>117</v>
      </c>
      <c r="E4" s="119" t="s">
        <v>149</v>
      </c>
      <c r="F4" s="120"/>
      <c r="G4" s="120"/>
      <c r="H4" s="121"/>
      <c r="I4" s="120"/>
      <c r="J4" s="120"/>
      <c r="K4" s="121"/>
      <c r="L4" s="120"/>
      <c r="M4" s="120"/>
      <c r="N4" s="121"/>
      <c r="O4" s="121"/>
      <c r="P4" s="121"/>
      <c r="Q4" s="122"/>
      <c r="R4" s="113" t="s">
        <v>150</v>
      </c>
    </row>
    <row r="5" s="114" customFormat="true" ht="15" hidden="false" customHeight="true" outlineLevel="0" collapsed="false">
      <c r="A5" s="117" t="s">
        <v>151</v>
      </c>
      <c r="B5" s="123" t="n">
        <f aca="false">COUNTIF($F$12:$F$32,"Passed")</f>
        <v>21</v>
      </c>
      <c r="C5" s="123" t="n">
        <f aca="false">COUNTIF($F$12:$F$32,"Failed")</f>
        <v>0</v>
      </c>
      <c r="D5" s="123" t="n">
        <f aca="false">COUNTIF($F$12:$F$32,"Pending")</f>
        <v>0</v>
      </c>
      <c r="E5" s="124" t="n">
        <f aca="false">COUNTIF($F$12:$F$32,"Blocked")</f>
        <v>0</v>
      </c>
      <c r="F5" s="125"/>
      <c r="G5" s="125"/>
      <c r="H5" s="121"/>
      <c r="I5" s="125"/>
      <c r="J5" s="125"/>
      <c r="K5" s="121"/>
      <c r="L5" s="125"/>
      <c r="M5" s="125"/>
      <c r="N5" s="121"/>
      <c r="O5" s="121"/>
      <c r="P5" s="121"/>
      <c r="Q5" s="122"/>
    </row>
    <row r="6" s="114" customFormat="true" ht="15" hidden="false" customHeight="true" outlineLevel="0" collapsed="false">
      <c r="A6" s="117" t="s">
        <v>152</v>
      </c>
      <c r="B6" s="123" t="n">
        <f aca="false">COUNTIF($F10:$F996,B4)</f>
        <v>21</v>
      </c>
      <c r="C6" s="123" t="n">
        <f aca="false">COUNTIF($F10:$F996,C4)</f>
        <v>0</v>
      </c>
      <c r="D6" s="123" t="n">
        <f aca="false">COUNTIF($F10:$F996,D4)</f>
        <v>0</v>
      </c>
      <c r="E6" s="124" t="n">
        <f aca="false">COUNTIF($F10:$F996,E4)</f>
        <v>0</v>
      </c>
      <c r="F6" s="125"/>
      <c r="G6" s="125"/>
      <c r="H6" s="121"/>
      <c r="I6" s="125"/>
      <c r="J6" s="125"/>
      <c r="K6" s="121"/>
      <c r="L6" s="125"/>
      <c r="M6" s="125"/>
      <c r="N6" s="121"/>
      <c r="O6" s="121"/>
      <c r="P6" s="121"/>
      <c r="Q6" s="122"/>
    </row>
    <row r="7" s="114" customFormat="true" ht="15" hidden="false" customHeight="true" outlineLevel="0" collapsed="false">
      <c r="A7" s="126" t="s">
        <v>153</v>
      </c>
      <c r="B7" s="127" t="n">
        <f aca="false">COUNTIF($F10:$F996,B4)</f>
        <v>21</v>
      </c>
      <c r="C7" s="127" t="n">
        <f aca="false">COUNTIF($F10:$F996,C4)</f>
        <v>0</v>
      </c>
      <c r="D7" s="127" t="n">
        <f aca="false">COUNTIF($F10:$F996,D4)</f>
        <v>0</v>
      </c>
      <c r="E7" s="128" t="n">
        <f aca="false">COUNTIF($F10:$F996,E4)</f>
        <v>0</v>
      </c>
      <c r="F7" s="125"/>
      <c r="G7" s="125"/>
      <c r="H7" s="121"/>
      <c r="I7" s="125"/>
      <c r="J7" s="125"/>
      <c r="K7" s="121"/>
      <c r="L7" s="125"/>
      <c r="M7" s="125"/>
      <c r="N7" s="121"/>
      <c r="O7" s="121"/>
      <c r="P7" s="121"/>
      <c r="Q7" s="122"/>
    </row>
    <row r="8" s="114" customFormat="true" ht="9.75" hidden="false" customHeight="true" outlineLevel="0" collapsed="false">
      <c r="A8" s="121"/>
      <c r="B8" s="121"/>
      <c r="C8" s="121"/>
      <c r="D8" s="121"/>
      <c r="E8" s="121"/>
      <c r="F8" s="100"/>
      <c r="G8" s="121"/>
      <c r="H8" s="121"/>
      <c r="I8" s="100"/>
      <c r="J8" s="121"/>
      <c r="K8" s="121"/>
      <c r="L8" s="100"/>
      <c r="M8" s="121"/>
      <c r="N8" s="121"/>
      <c r="O8" s="121"/>
      <c r="P8" s="121"/>
      <c r="Q8" s="122"/>
    </row>
    <row r="9" s="114" customFormat="true" ht="8.25" hidden="false" customHeight="true" outlineLevel="0" collapsed="false">
      <c r="A9" s="121"/>
      <c r="B9" s="121"/>
      <c r="C9" s="121"/>
      <c r="D9" s="121"/>
      <c r="E9" s="121"/>
      <c r="F9" s="100"/>
      <c r="G9" s="121"/>
      <c r="H9" s="121"/>
      <c r="I9" s="100"/>
      <c r="J9" s="121"/>
      <c r="K9" s="121"/>
      <c r="L9" s="100"/>
      <c r="M9" s="121"/>
      <c r="N9" s="121"/>
      <c r="O9" s="121"/>
      <c r="P9" s="121"/>
      <c r="Q9" s="122"/>
    </row>
    <row r="10" s="114" customFormat="true" ht="42" hidden="false" customHeight="true" outlineLevel="0" collapsed="false">
      <c r="A10" s="129" t="s">
        <v>154</v>
      </c>
      <c r="B10" s="129" t="s">
        <v>155</v>
      </c>
      <c r="C10" s="129" t="s">
        <v>156</v>
      </c>
      <c r="D10" s="129" t="s">
        <v>157</v>
      </c>
      <c r="E10" s="129" t="s">
        <v>29</v>
      </c>
      <c r="F10" s="129" t="s">
        <v>151</v>
      </c>
      <c r="G10" s="129" t="s">
        <v>158</v>
      </c>
      <c r="H10" s="129" t="s">
        <v>159</v>
      </c>
      <c r="I10" s="129" t="s">
        <v>152</v>
      </c>
      <c r="J10" s="129" t="s">
        <v>158</v>
      </c>
      <c r="K10" s="129" t="s">
        <v>159</v>
      </c>
      <c r="L10" s="129" t="s">
        <v>153</v>
      </c>
      <c r="M10" s="129" t="s">
        <v>158</v>
      </c>
      <c r="N10" s="129" t="s">
        <v>159</v>
      </c>
      <c r="O10" s="129" t="s">
        <v>112</v>
      </c>
      <c r="Q10" s="130"/>
    </row>
    <row r="11" s="114" customFormat="true" ht="15.75" hidden="false" customHeight="true" outlineLevel="0" collapsed="false">
      <c r="A11" s="131" t="s">
        <v>160</v>
      </c>
      <c r="B11" s="132"/>
      <c r="C11" s="133"/>
      <c r="D11" s="133"/>
      <c r="E11" s="133"/>
      <c r="F11" s="133"/>
      <c r="G11" s="133"/>
      <c r="H11" s="133"/>
      <c r="I11" s="133"/>
      <c r="J11" s="133"/>
      <c r="K11" s="133"/>
      <c r="L11" s="133"/>
      <c r="M11" s="133"/>
      <c r="N11" s="133"/>
      <c r="O11" s="134"/>
      <c r="Q11" s="135"/>
    </row>
    <row r="12" s="139" customFormat="true" ht="109.5" hidden="false" customHeight="true" outlineLevel="1" collapsed="false">
      <c r="A12" s="136" t="s">
        <v>161</v>
      </c>
      <c r="B12" s="137" t="s">
        <v>162</v>
      </c>
      <c r="C12" s="137" t="s">
        <v>163</v>
      </c>
      <c r="D12" s="46" t="s">
        <v>164</v>
      </c>
      <c r="E12" s="46" t="s">
        <v>33</v>
      </c>
      <c r="F12" s="136" t="s">
        <v>115</v>
      </c>
      <c r="G12" s="136" t="s">
        <v>165</v>
      </c>
      <c r="H12" s="136" t="s">
        <v>4</v>
      </c>
      <c r="I12" s="116" t="s">
        <v>150</v>
      </c>
      <c r="J12" s="116"/>
      <c r="K12" s="116"/>
      <c r="L12" s="116" t="s">
        <v>150</v>
      </c>
      <c r="M12" s="116"/>
      <c r="N12" s="116"/>
      <c r="O12" s="138" t="s">
        <v>166</v>
      </c>
      <c r="Q12" s="140"/>
    </row>
    <row r="13" customFormat="false" ht="109.5" hidden="false" customHeight="true" outlineLevel="1" collapsed="false">
      <c r="A13" s="136" t="s">
        <v>167</v>
      </c>
      <c r="B13" s="116" t="s">
        <v>168</v>
      </c>
      <c r="C13" s="116" t="s">
        <v>169</v>
      </c>
      <c r="D13" s="141" t="s">
        <v>170</v>
      </c>
      <c r="E13" s="141" t="s">
        <v>35</v>
      </c>
      <c r="F13" s="136" t="s">
        <v>115</v>
      </c>
      <c r="G13" s="136" t="s">
        <v>165</v>
      </c>
      <c r="H13" s="136" t="s">
        <v>4</v>
      </c>
      <c r="I13" s="116" t="s">
        <v>150</v>
      </c>
      <c r="J13" s="116"/>
      <c r="K13" s="116"/>
      <c r="L13" s="116" t="s">
        <v>150</v>
      </c>
      <c r="M13" s="116"/>
      <c r="N13" s="116"/>
      <c r="O13" s="138" t="s">
        <v>171</v>
      </c>
      <c r="Q13" s="140"/>
    </row>
    <row r="14" customFormat="false" ht="109.5" hidden="false" customHeight="true" outlineLevel="1" collapsed="false">
      <c r="A14" s="136" t="s">
        <v>172</v>
      </c>
      <c r="B14" s="116" t="s">
        <v>173</v>
      </c>
      <c r="C14" s="116" t="s">
        <v>174</v>
      </c>
      <c r="D14" s="141" t="s">
        <v>175</v>
      </c>
      <c r="E14" s="141" t="s">
        <v>37</v>
      </c>
      <c r="F14" s="136" t="s">
        <v>115</v>
      </c>
      <c r="G14" s="136" t="s">
        <v>165</v>
      </c>
      <c r="H14" s="136" t="s">
        <v>4</v>
      </c>
      <c r="I14" s="116" t="s">
        <v>150</v>
      </c>
      <c r="J14" s="116"/>
      <c r="K14" s="116"/>
      <c r="L14" s="116" t="s">
        <v>150</v>
      </c>
      <c r="M14" s="116"/>
      <c r="N14" s="116"/>
      <c r="O14" s="138" t="s">
        <v>176</v>
      </c>
      <c r="Q14" s="140"/>
    </row>
    <row r="15" s="114" customFormat="true" ht="109.5" hidden="false" customHeight="true" outlineLevel="0" collapsed="false">
      <c r="A15" s="142" t="s">
        <v>177</v>
      </c>
      <c r="B15" s="143" t="s">
        <v>178</v>
      </c>
      <c r="C15" s="144" t="s">
        <v>179</v>
      </c>
      <c r="D15" s="144" t="s">
        <v>180</v>
      </c>
      <c r="E15" s="144" t="s">
        <v>40</v>
      </c>
      <c r="F15" s="145" t="s">
        <v>115</v>
      </c>
      <c r="G15" s="145" t="s">
        <v>165</v>
      </c>
      <c r="H15" s="145" t="s">
        <v>4</v>
      </c>
      <c r="I15" s="144" t="s">
        <v>150</v>
      </c>
      <c r="J15" s="144"/>
      <c r="K15" s="144"/>
      <c r="L15" s="144" t="s">
        <v>150</v>
      </c>
      <c r="M15" s="144"/>
      <c r="N15" s="144"/>
      <c r="O15" s="146" t="s">
        <v>181</v>
      </c>
      <c r="Q15" s="135"/>
    </row>
    <row r="16" customFormat="false" ht="109.5" hidden="false" customHeight="true" outlineLevel="1" collapsed="false">
      <c r="A16" s="136" t="s">
        <v>182</v>
      </c>
      <c r="B16" s="116" t="s">
        <v>183</v>
      </c>
      <c r="C16" s="116" t="s">
        <v>184</v>
      </c>
      <c r="D16" s="116" t="s">
        <v>185</v>
      </c>
      <c r="E16" s="116" t="s">
        <v>42</v>
      </c>
      <c r="F16" s="136" t="s">
        <v>115</v>
      </c>
      <c r="G16" s="136" t="s">
        <v>165</v>
      </c>
      <c r="H16" s="136" t="s">
        <v>4</v>
      </c>
      <c r="I16" s="116" t="s">
        <v>150</v>
      </c>
      <c r="J16" s="116"/>
      <c r="K16" s="116"/>
      <c r="L16" s="116" t="s">
        <v>150</v>
      </c>
      <c r="M16" s="116"/>
      <c r="N16" s="116"/>
      <c r="O16" s="138" t="s">
        <v>186</v>
      </c>
      <c r="Q16" s="140"/>
    </row>
    <row r="17" customFormat="false" ht="109.5" hidden="false" customHeight="true" outlineLevel="1" collapsed="false">
      <c r="A17" s="136" t="s">
        <v>187</v>
      </c>
      <c r="B17" s="116" t="s">
        <v>188</v>
      </c>
      <c r="C17" s="116" t="s">
        <v>189</v>
      </c>
      <c r="D17" s="116" t="s">
        <v>190</v>
      </c>
      <c r="E17" s="116" t="s">
        <v>45</v>
      </c>
      <c r="F17" s="136" t="s">
        <v>115</v>
      </c>
      <c r="G17" s="147" t="s">
        <v>191</v>
      </c>
      <c r="H17" s="147" t="s">
        <v>4</v>
      </c>
      <c r="I17" s="116" t="s">
        <v>150</v>
      </c>
      <c r="J17" s="138"/>
      <c r="K17" s="138"/>
      <c r="L17" s="116" t="s">
        <v>150</v>
      </c>
      <c r="M17" s="138"/>
      <c r="N17" s="138"/>
      <c r="O17" s="138" t="s">
        <v>192</v>
      </c>
      <c r="Q17" s="148"/>
    </row>
    <row r="18" s="114" customFormat="true" ht="109.5" hidden="false" customHeight="true" outlineLevel="0" collapsed="false">
      <c r="A18" s="142" t="s">
        <v>193</v>
      </c>
      <c r="B18" s="143" t="s">
        <v>194</v>
      </c>
      <c r="C18" s="144" t="s">
        <v>195</v>
      </c>
      <c r="D18" s="144" t="s">
        <v>196</v>
      </c>
      <c r="E18" s="144" t="s">
        <v>48</v>
      </c>
      <c r="F18" s="145" t="s">
        <v>115</v>
      </c>
      <c r="G18" s="145" t="s">
        <v>191</v>
      </c>
      <c r="H18" s="145" t="s">
        <v>4</v>
      </c>
      <c r="I18" s="144" t="s">
        <v>150</v>
      </c>
      <c r="J18" s="144"/>
      <c r="K18" s="144"/>
      <c r="L18" s="144" t="s">
        <v>150</v>
      </c>
      <c r="M18" s="144"/>
      <c r="N18" s="144"/>
      <c r="O18" s="146" t="s">
        <v>197</v>
      </c>
      <c r="Q18" s="135"/>
    </row>
    <row r="19" customFormat="false" ht="109.5" hidden="false" customHeight="true" outlineLevel="1" collapsed="false">
      <c r="A19" s="136" t="s">
        <v>198</v>
      </c>
      <c r="B19" s="116" t="s">
        <v>199</v>
      </c>
      <c r="C19" s="116" t="s">
        <v>200</v>
      </c>
      <c r="D19" s="116" t="s">
        <v>201</v>
      </c>
      <c r="E19" s="116" t="s">
        <v>51</v>
      </c>
      <c r="F19" s="136" t="s">
        <v>115</v>
      </c>
      <c r="G19" s="136" t="s">
        <v>191</v>
      </c>
      <c r="H19" s="136" t="s">
        <v>4</v>
      </c>
      <c r="I19" s="116" t="s">
        <v>150</v>
      </c>
      <c r="J19" s="116"/>
      <c r="K19" s="116"/>
      <c r="L19" s="116" t="s">
        <v>150</v>
      </c>
      <c r="M19" s="116"/>
      <c r="N19" s="116"/>
      <c r="O19" s="138" t="s">
        <v>202</v>
      </c>
      <c r="Q19" s="140"/>
    </row>
    <row r="20" customFormat="false" ht="109.5" hidden="false" customHeight="true" outlineLevel="0" collapsed="false">
      <c r="A20" s="136" t="s">
        <v>203</v>
      </c>
      <c r="B20" s="137" t="s">
        <v>204</v>
      </c>
      <c r="C20" s="137" t="s">
        <v>205</v>
      </c>
      <c r="D20" s="46" t="s">
        <v>206</v>
      </c>
      <c r="E20" s="46" t="s">
        <v>54</v>
      </c>
      <c r="F20" s="136" t="s">
        <v>115</v>
      </c>
      <c r="G20" s="136" t="s">
        <v>207</v>
      </c>
      <c r="H20" s="136" t="s">
        <v>4</v>
      </c>
      <c r="I20" s="116" t="s">
        <v>150</v>
      </c>
      <c r="J20" s="116"/>
      <c r="K20" s="116"/>
      <c r="L20" s="116" t="s">
        <v>150</v>
      </c>
      <c r="M20" s="116"/>
      <c r="N20" s="116"/>
      <c r="O20" s="138" t="s">
        <v>208</v>
      </c>
      <c r="Q20" s="140"/>
    </row>
    <row r="21" customFormat="false" ht="109.5" hidden="false" customHeight="true" outlineLevel="0" collapsed="false">
      <c r="A21" s="136" t="s">
        <v>209</v>
      </c>
      <c r="B21" s="137" t="s">
        <v>210</v>
      </c>
      <c r="C21" s="137" t="s">
        <v>211</v>
      </c>
      <c r="D21" s="46" t="s">
        <v>212</v>
      </c>
      <c r="E21" s="46" t="s">
        <v>57</v>
      </c>
      <c r="F21" s="136" t="s">
        <v>115</v>
      </c>
      <c r="G21" s="136" t="s">
        <v>213</v>
      </c>
      <c r="H21" s="136" t="s">
        <v>214</v>
      </c>
      <c r="I21" s="116" t="s">
        <v>150</v>
      </c>
      <c r="J21" s="116"/>
      <c r="K21" s="116"/>
      <c r="L21" s="116" t="s">
        <v>150</v>
      </c>
      <c r="M21" s="116"/>
      <c r="N21" s="116"/>
      <c r="O21" s="138" t="s">
        <v>215</v>
      </c>
      <c r="Q21" s="140"/>
    </row>
    <row r="22" customFormat="false" ht="109.5" hidden="false" customHeight="true" outlineLevel="0" collapsed="false">
      <c r="A22" s="136" t="s">
        <v>216</v>
      </c>
      <c r="B22" s="137" t="s">
        <v>217</v>
      </c>
      <c r="C22" s="137" t="s">
        <v>218</v>
      </c>
      <c r="D22" s="46" t="s">
        <v>219</v>
      </c>
      <c r="E22" s="46" t="s">
        <v>60</v>
      </c>
      <c r="F22" s="136" t="s">
        <v>115</v>
      </c>
      <c r="G22" s="136" t="s">
        <v>213</v>
      </c>
      <c r="H22" s="136" t="s">
        <v>214</v>
      </c>
      <c r="I22" s="116" t="s">
        <v>150</v>
      </c>
      <c r="J22" s="116"/>
      <c r="K22" s="116"/>
      <c r="L22" s="116" t="s">
        <v>150</v>
      </c>
      <c r="M22" s="116"/>
      <c r="N22" s="116"/>
      <c r="O22" s="138" t="s">
        <v>220</v>
      </c>
      <c r="Q22" s="140"/>
    </row>
    <row r="23" customFormat="false" ht="109.5" hidden="false" customHeight="true" outlineLevel="0" collapsed="false">
      <c r="A23" s="136" t="s">
        <v>221</v>
      </c>
      <c r="B23" s="137" t="s">
        <v>222</v>
      </c>
      <c r="C23" s="137" t="s">
        <v>223</v>
      </c>
      <c r="D23" s="46" t="s">
        <v>224</v>
      </c>
      <c r="E23" s="46" t="s">
        <v>63</v>
      </c>
      <c r="F23" s="136" t="s">
        <v>115</v>
      </c>
      <c r="G23" s="136" t="s">
        <v>213</v>
      </c>
      <c r="H23" s="136" t="s">
        <v>214</v>
      </c>
      <c r="I23" s="116" t="s">
        <v>150</v>
      </c>
      <c r="J23" s="116"/>
      <c r="K23" s="116"/>
      <c r="L23" s="116" t="s">
        <v>150</v>
      </c>
      <c r="M23" s="116"/>
      <c r="N23" s="116"/>
      <c r="O23" s="138" t="s">
        <v>225</v>
      </c>
      <c r="Q23" s="140"/>
    </row>
    <row r="24" customFormat="false" ht="109.5" hidden="false" customHeight="true" outlineLevel="0" collapsed="false">
      <c r="A24" s="136" t="s">
        <v>226</v>
      </c>
      <c r="B24" s="137" t="s">
        <v>227</v>
      </c>
      <c r="C24" s="137" t="s">
        <v>228</v>
      </c>
      <c r="D24" s="46" t="s">
        <v>229</v>
      </c>
      <c r="E24" s="46" t="s">
        <v>66</v>
      </c>
      <c r="F24" s="136" t="s">
        <v>115</v>
      </c>
      <c r="G24" s="136" t="s">
        <v>213</v>
      </c>
      <c r="H24" s="136" t="s">
        <v>214</v>
      </c>
      <c r="I24" s="116" t="s">
        <v>150</v>
      </c>
      <c r="J24" s="116"/>
      <c r="K24" s="116"/>
      <c r="L24" s="116" t="s">
        <v>150</v>
      </c>
      <c r="M24" s="116"/>
      <c r="N24" s="116"/>
      <c r="O24" s="138" t="s">
        <v>230</v>
      </c>
      <c r="Q24" s="140"/>
    </row>
    <row r="25" customFormat="false" ht="109.5" hidden="false" customHeight="true" outlineLevel="0" collapsed="false">
      <c r="A25" s="136" t="s">
        <v>231</v>
      </c>
      <c r="B25" s="137" t="s">
        <v>232</v>
      </c>
      <c r="C25" s="137" t="s">
        <v>233</v>
      </c>
      <c r="D25" s="46" t="s">
        <v>234</v>
      </c>
      <c r="E25" s="46" t="s">
        <v>69</v>
      </c>
      <c r="F25" s="136" t="s">
        <v>115</v>
      </c>
      <c r="G25" s="136" t="s">
        <v>213</v>
      </c>
      <c r="H25" s="136" t="s">
        <v>214</v>
      </c>
      <c r="I25" s="116" t="s">
        <v>150</v>
      </c>
      <c r="J25" s="116"/>
      <c r="K25" s="116"/>
      <c r="L25" s="116" t="s">
        <v>150</v>
      </c>
      <c r="M25" s="116"/>
      <c r="N25" s="116"/>
      <c r="O25" s="138" t="s">
        <v>235</v>
      </c>
      <c r="Q25" s="140"/>
    </row>
    <row r="26" customFormat="false" ht="109.5" hidden="false" customHeight="true" outlineLevel="0" collapsed="false">
      <c r="A26" s="136" t="s">
        <v>236</v>
      </c>
      <c r="B26" s="137" t="s">
        <v>237</v>
      </c>
      <c r="C26" s="137" t="s">
        <v>238</v>
      </c>
      <c r="D26" s="46" t="s">
        <v>239</v>
      </c>
      <c r="E26" s="46" t="s">
        <v>72</v>
      </c>
      <c r="F26" s="136" t="s">
        <v>115</v>
      </c>
      <c r="G26" s="136" t="s">
        <v>213</v>
      </c>
      <c r="H26" s="136" t="s">
        <v>214</v>
      </c>
      <c r="I26" s="116" t="s">
        <v>150</v>
      </c>
      <c r="J26" s="116"/>
      <c r="K26" s="116"/>
      <c r="L26" s="116" t="s">
        <v>150</v>
      </c>
      <c r="M26" s="116"/>
      <c r="N26" s="116"/>
      <c r="O26" s="138" t="s">
        <v>240</v>
      </c>
      <c r="Q26" s="140"/>
    </row>
    <row r="27" customFormat="false" ht="109.5" hidden="false" customHeight="true" outlineLevel="0" collapsed="false">
      <c r="A27" s="136" t="s">
        <v>241</v>
      </c>
      <c r="B27" s="137" t="s">
        <v>242</v>
      </c>
      <c r="C27" s="137" t="s">
        <v>243</v>
      </c>
      <c r="D27" s="46" t="s">
        <v>244</v>
      </c>
      <c r="E27" s="46" t="s">
        <v>75</v>
      </c>
      <c r="F27" s="136" t="s">
        <v>115</v>
      </c>
      <c r="G27" s="136" t="s">
        <v>213</v>
      </c>
      <c r="H27" s="136" t="s">
        <v>214</v>
      </c>
      <c r="I27" s="116" t="s">
        <v>150</v>
      </c>
      <c r="J27" s="116"/>
      <c r="K27" s="116"/>
      <c r="L27" s="116" t="s">
        <v>150</v>
      </c>
      <c r="M27" s="116"/>
      <c r="N27" s="116"/>
      <c r="O27" s="138" t="s">
        <v>245</v>
      </c>
      <c r="Q27" s="140"/>
    </row>
    <row r="28" customFormat="false" ht="109.5" hidden="false" customHeight="true" outlineLevel="0" collapsed="false">
      <c r="A28" s="136" t="s">
        <v>246</v>
      </c>
      <c r="B28" s="137" t="s">
        <v>247</v>
      </c>
      <c r="C28" s="137" t="s">
        <v>248</v>
      </c>
      <c r="D28" s="46" t="s">
        <v>249</v>
      </c>
      <c r="E28" s="46" t="s">
        <v>78</v>
      </c>
      <c r="F28" s="136" t="s">
        <v>115</v>
      </c>
      <c r="G28" s="136" t="s">
        <v>250</v>
      </c>
      <c r="H28" s="136" t="s">
        <v>4</v>
      </c>
      <c r="I28" s="116" t="s">
        <v>150</v>
      </c>
      <c r="J28" s="116"/>
      <c r="K28" s="116"/>
      <c r="L28" s="116" t="s">
        <v>150</v>
      </c>
      <c r="M28" s="116"/>
      <c r="N28" s="116"/>
      <c r="O28" s="138" t="s">
        <v>251</v>
      </c>
      <c r="Q28" s="140"/>
    </row>
    <row r="29" customFormat="false" ht="109.5" hidden="false" customHeight="true" outlineLevel="0" collapsed="false">
      <c r="A29" s="136" t="s">
        <v>252</v>
      </c>
      <c r="B29" s="137" t="s">
        <v>253</v>
      </c>
      <c r="C29" s="137" t="s">
        <v>254</v>
      </c>
      <c r="D29" s="46" t="s">
        <v>255</v>
      </c>
      <c r="E29" s="46" t="s">
        <v>81</v>
      </c>
      <c r="F29" s="136" t="s">
        <v>115</v>
      </c>
      <c r="G29" s="136" t="s">
        <v>213</v>
      </c>
      <c r="H29" s="136" t="s">
        <v>214</v>
      </c>
      <c r="I29" s="116" t="s">
        <v>150</v>
      </c>
      <c r="J29" s="116"/>
      <c r="K29" s="116"/>
      <c r="L29" s="116" t="s">
        <v>150</v>
      </c>
      <c r="M29" s="116"/>
      <c r="N29" s="116"/>
      <c r="O29" s="138" t="s">
        <v>256</v>
      </c>
      <c r="Q29" s="140"/>
    </row>
    <row r="30" customFormat="false" ht="109.5" hidden="false" customHeight="true" outlineLevel="0" collapsed="false">
      <c r="A30" s="136" t="s">
        <v>257</v>
      </c>
      <c r="B30" s="137" t="s">
        <v>258</v>
      </c>
      <c r="C30" s="137" t="s">
        <v>259</v>
      </c>
      <c r="D30" s="46" t="s">
        <v>260</v>
      </c>
      <c r="E30" s="46" t="s">
        <v>84</v>
      </c>
      <c r="F30" s="136" t="s">
        <v>115</v>
      </c>
      <c r="G30" s="136" t="s">
        <v>261</v>
      </c>
      <c r="H30" s="136" t="s">
        <v>4</v>
      </c>
      <c r="I30" s="116" t="s">
        <v>150</v>
      </c>
      <c r="J30" s="116"/>
      <c r="K30" s="116"/>
      <c r="L30" s="116" t="s">
        <v>150</v>
      </c>
      <c r="M30" s="116"/>
      <c r="N30" s="116"/>
      <c r="O30" s="138" t="s">
        <v>262</v>
      </c>
      <c r="Q30" s="140"/>
    </row>
    <row r="31" customFormat="false" ht="109.5" hidden="false" customHeight="true" outlineLevel="0" collapsed="false">
      <c r="A31" s="136" t="s">
        <v>263</v>
      </c>
      <c r="B31" s="137" t="s">
        <v>264</v>
      </c>
      <c r="C31" s="137" t="s">
        <v>265</v>
      </c>
      <c r="D31" s="46" t="s">
        <v>266</v>
      </c>
      <c r="E31" s="46" t="s">
        <v>87</v>
      </c>
      <c r="F31" s="136" t="s">
        <v>115</v>
      </c>
      <c r="G31" s="136" t="s">
        <v>267</v>
      </c>
      <c r="H31" s="136" t="s">
        <v>4</v>
      </c>
      <c r="I31" s="116" t="s">
        <v>150</v>
      </c>
      <c r="J31" s="116"/>
      <c r="K31" s="116"/>
      <c r="L31" s="116" t="s">
        <v>150</v>
      </c>
      <c r="M31" s="116"/>
      <c r="N31" s="116"/>
      <c r="O31" s="138" t="s">
        <v>268</v>
      </c>
      <c r="Q31" s="140"/>
    </row>
    <row r="32" customFormat="false" ht="109.5" hidden="false" customHeight="true" outlineLevel="0" collapsed="false">
      <c r="A32" s="136" t="s">
        <v>269</v>
      </c>
      <c r="B32" s="137" t="s">
        <v>270</v>
      </c>
      <c r="C32" s="137" t="s">
        <v>271</v>
      </c>
      <c r="D32" s="46" t="s">
        <v>272</v>
      </c>
      <c r="E32" s="46" t="s">
        <v>90</v>
      </c>
      <c r="F32" s="136" t="s">
        <v>115</v>
      </c>
      <c r="G32" s="136" t="s">
        <v>213</v>
      </c>
      <c r="H32" s="136" t="s">
        <v>214</v>
      </c>
      <c r="I32" s="116" t="s">
        <v>150</v>
      </c>
      <c r="J32" s="116"/>
      <c r="K32" s="116"/>
      <c r="L32" s="116" t="s">
        <v>150</v>
      </c>
      <c r="M32" s="116"/>
      <c r="N32" s="116"/>
      <c r="O32" s="138" t="s">
        <v>273</v>
      </c>
      <c r="Q32" s="140"/>
    </row>
  </sheetData>
  <mergeCells count="3">
    <mergeCell ref="B1:E1"/>
    <mergeCell ref="B2:E2"/>
    <mergeCell ref="B3:E3"/>
  </mergeCells>
  <dataValidations count="2">
    <dataValidation allowBlank="true" errorStyle="stop" operator="between" showDropDown="false" showErrorMessage="true" showInputMessage="false" sqref="G1:G2 J1:J2 M1:M2 G8:G9 J8:J9 M8:M9 F12:F19 I12:I19 L12:L19 G20:G145 J20:J145 M20:M145" type="list">
      <formula1>$R$1:$R$4</formula1>
      <formula2>0</formula2>
    </dataValidation>
    <dataValidation allowBlank="true" errorStyle="stop" operator="between" showDropDown="false" showErrorMessage="true" showInputMessage="false" sqref="F10 I10 L10" type="none">
      <formula1>0</formula1>
      <formula2>0</formula2>
    </dataValidation>
  </dataValidations>
  <printOptions headings="false" gridLines="false" gridLinesSet="true" horizontalCentered="false" verticalCentered="false"/>
  <pageMargins left="0.747916666666667" right="0.25" top="0.75" bottom="0.984027777777778" header="0.5" footer="0.5"/>
  <pageSetup paperSize="9" fitToWidth="2" fitToHeight="0" pageOrder="downThenOver" orientation="landscape" blackAndWhite="false" draft="false" cellComments="none" horizontalDpi="300" verticalDpi="300" copies="1"/>
  <headerFooter differentFirst="false" differentOddEven="false">
    <oddHeader>&amp;LFacilitate_Test Case\Company&amp;Rv1.0</oddHeader>
    <oddFooter>&amp;L&amp;"Tahoma,Regular"&amp;8 02ae-BM/PM/HDCV/FSOFT v2/0&amp;C&amp;"Tahoma,Regular"&amp;10 Internal use&amp;R&amp;"Tahoma,Regular"&amp;8 &amp;P/&amp;N</oddFooter>
  </headerFooter>
  <legacyDrawing ns1:id="rId2"/>
</worksheet>
</file>

<file path=xl/worksheets/sheet5.xml><?xml version="1.0" encoding="utf-8"?>
<worksheet xmlns="http://schemas.openxmlformats.org/spreadsheetml/2006/main" xmlns:ns1="http://schemas.openxmlformats.org/officeDocument/2006/relationships">
  <sheetPr filterMode="false">
    <outlinePr summaryBelow="0"/>
    <pageSetUpPr fitToPage="true"/>
  </sheetPr>
  <dimension ref="A1:R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0" topLeftCell="A11" activePane="bottomLeft" state="frozen"/>
      <selection pane="topLeft" activeCell="A1" activeCellId="0" sqref="A1"/>
      <selection pane="bottomLeft" activeCell="H5" activeCellId="0" sqref="H5"/>
    </sheetView>
  </sheetViews>
  <sheetFormatPr defaultColWidth="9.00390625" defaultRowHeight="12.75" customHeight="false" zeroHeight="false" outlineLevelRow="1" outlineLevelCol="1"/>
  <cols>
    <col collapsed="false" customWidth="true" hidden="false" outlineLevel="0" max="1" min="1" style="38" width="18"/>
    <col collapsed="false" customWidth="true" hidden="false" outlineLevel="0" max="2" min="2" style="38" width="45"/>
    <col collapsed="false" customWidth="true" hidden="false" outlineLevel="0" max="3" min="3" style="38" width="85"/>
    <col collapsed="false" customWidth="true" hidden="false" outlineLevel="0" max="4" min="4" style="38" width="48"/>
    <col collapsed="false" customWidth="true" hidden="false" outlineLevel="0" max="5" min="5" style="38" width="46"/>
    <col collapsed="false" customWidth="true" hidden="false" outlineLevel="0" max="6" min="6" style="38" width="12"/>
    <col collapsed="false" customWidth="true" hidden="false" outlineLevel="1" max="7" min="7" style="38" width="18"/>
    <col collapsed="false" customWidth="true" hidden="false" outlineLevel="1" max="8" min="8" style="38" width="16"/>
    <col collapsed="false" customWidth="true" hidden="false" outlineLevel="0" max="9" min="9" style="38" width="10"/>
    <col collapsed="false" customWidth="true" hidden="false" outlineLevel="1" max="11" min="10" style="38" width="14"/>
    <col collapsed="false" customWidth="true" hidden="false" outlineLevel="0" max="12" min="12" style="38" width="10"/>
    <col collapsed="false" customWidth="true" hidden="false" outlineLevel="1" max="14" min="13" style="38" width="14"/>
    <col collapsed="false" customWidth="true" hidden="false" outlineLevel="0" max="15" min="15" style="38" width="62"/>
    <col collapsed="false" customWidth="true" hidden="false" outlineLevel="0" max="16" min="16" style="38" width="10.12"/>
    <col collapsed="false" customWidth="true" hidden="false" outlineLevel="0" max="17" min="17" style="106" width="8.13"/>
    <col collapsed="false" customWidth="true" hidden="true" outlineLevel="0" max="18" min="18" style="38" width="7.63"/>
    <col collapsed="false" customWidth="false" hidden="false" outlineLevel="0" max="16384" min="19" style="38" width="9"/>
  </cols>
  <sheetData>
    <row r="1" customFormat="false" ht="36" hidden="false" customHeight="true" outlineLevel="0" collapsed="false">
      <c r="A1" s="102" t="s">
        <v>121</v>
      </c>
    </row>
    <row r="2" s="114" customFormat="true" ht="36" hidden="false" customHeight="true" outlineLevel="0" collapsed="false">
      <c r="A2" s="107" t="s">
        <v>274</v>
      </c>
      <c r="B2" s="108" t="s">
        <v>121</v>
      </c>
      <c r="C2" s="108"/>
      <c r="D2" s="108"/>
      <c r="E2" s="108"/>
      <c r="F2" s="109"/>
      <c r="G2" s="110"/>
      <c r="H2" s="111"/>
      <c r="I2" s="109"/>
      <c r="J2" s="110"/>
      <c r="K2" s="111"/>
      <c r="L2" s="109"/>
      <c r="M2" s="110"/>
      <c r="N2" s="111"/>
      <c r="O2" s="111"/>
      <c r="P2" s="111"/>
      <c r="Q2" s="112"/>
      <c r="R2" s="113" t="s">
        <v>115</v>
      </c>
    </row>
    <row r="3" s="114" customFormat="true" ht="36" hidden="false" customHeight="true" outlineLevel="0" collapsed="false">
      <c r="A3" s="115" t="s">
        <v>146</v>
      </c>
      <c r="B3" s="116" t="s">
        <v>275</v>
      </c>
      <c r="C3" s="116"/>
      <c r="D3" s="116"/>
      <c r="E3" s="116"/>
      <c r="F3" s="109"/>
      <c r="G3" s="110"/>
      <c r="H3" s="111"/>
      <c r="I3" s="109"/>
      <c r="J3" s="110"/>
      <c r="K3" s="111"/>
      <c r="L3" s="109"/>
      <c r="M3" s="110"/>
      <c r="N3" s="111"/>
      <c r="O3" s="111"/>
      <c r="P3" s="111"/>
      <c r="Q3" s="112"/>
      <c r="R3" s="113" t="s">
        <v>116</v>
      </c>
    </row>
    <row r="4" s="114" customFormat="true" ht="36" hidden="false" customHeight="true" outlineLevel="0" collapsed="false">
      <c r="A4" s="115" t="s">
        <v>119</v>
      </c>
      <c r="B4" s="116" t="n">
        <f aca="false">COUNTA(A12:A17)</f>
        <v>6</v>
      </c>
      <c r="C4" s="116"/>
      <c r="D4" s="116"/>
      <c r="E4" s="116"/>
      <c r="F4" s="109"/>
      <c r="G4" s="110"/>
      <c r="H4" s="111"/>
      <c r="I4" s="109"/>
      <c r="J4" s="110"/>
      <c r="K4" s="111"/>
      <c r="L4" s="109"/>
      <c r="M4" s="110"/>
      <c r="N4" s="111"/>
      <c r="O4" s="111"/>
      <c r="P4" s="111"/>
      <c r="Q4" s="112"/>
      <c r="R4" s="113" t="s">
        <v>117</v>
      </c>
    </row>
    <row r="5" s="114" customFormat="true" ht="19.5" hidden="false" customHeight="true" outlineLevel="0" collapsed="false">
      <c r="A5" s="117" t="s">
        <v>148</v>
      </c>
      <c r="B5" s="118" t="s">
        <v>115</v>
      </c>
      <c r="C5" s="118" t="s">
        <v>116</v>
      </c>
      <c r="D5" s="118" t="s">
        <v>117</v>
      </c>
      <c r="E5" s="119" t="s">
        <v>149</v>
      </c>
      <c r="F5" s="120"/>
      <c r="G5" s="120"/>
      <c r="H5" s="121"/>
      <c r="I5" s="120"/>
      <c r="J5" s="120"/>
      <c r="K5" s="121"/>
      <c r="L5" s="120"/>
      <c r="M5" s="120"/>
      <c r="N5" s="121"/>
      <c r="O5" s="121"/>
      <c r="P5" s="121"/>
      <c r="Q5" s="122"/>
      <c r="R5" s="113" t="s">
        <v>150</v>
      </c>
    </row>
    <row r="6" s="114" customFormat="true" ht="15" hidden="false" customHeight="true" outlineLevel="0" collapsed="false">
      <c r="A6" s="117" t="s">
        <v>151</v>
      </c>
      <c r="B6" s="123" t="n">
        <f aca="false">COUNTIF($F$12:$F$17,"Passed")</f>
        <v>0</v>
      </c>
      <c r="C6" s="123" t="n">
        <f aca="false">COUNTIF($F$12:$F$17,"Failed")</f>
        <v>0</v>
      </c>
      <c r="D6" s="123" t="n">
        <f aca="false">COUNTIF($F$12:$F$17,"Pending")</f>
        <v>6</v>
      </c>
      <c r="E6" s="124" t="n">
        <f aca="false">COUNTIF($F$12:$F$17,"Blocked")</f>
        <v>0</v>
      </c>
      <c r="F6" s="125"/>
      <c r="G6" s="125"/>
      <c r="H6" s="121"/>
      <c r="I6" s="125"/>
      <c r="J6" s="125"/>
      <c r="K6" s="121"/>
      <c r="L6" s="125"/>
      <c r="M6" s="125"/>
      <c r="N6" s="121"/>
      <c r="O6" s="121"/>
      <c r="P6" s="121"/>
      <c r="Q6" s="122"/>
    </row>
    <row r="7" s="114" customFormat="true" ht="15" hidden="false" customHeight="true" outlineLevel="0" collapsed="false">
      <c r="A7" s="117" t="s">
        <v>152</v>
      </c>
      <c r="B7" s="123" t="n">
        <f aca="false">COUNTIF($F10:$F996,B5)</f>
        <v>0</v>
      </c>
      <c r="C7" s="123" t="n">
        <f aca="false">COUNTIF($F10:$F996,C5)</f>
        <v>0</v>
      </c>
      <c r="D7" s="123" t="n">
        <f aca="false">COUNTIF($F10:$F996,D5)</f>
        <v>6</v>
      </c>
      <c r="E7" s="124" t="n">
        <f aca="false">COUNTIF($F10:$F996,E5)</f>
        <v>0</v>
      </c>
      <c r="F7" s="125"/>
      <c r="G7" s="125"/>
      <c r="H7" s="121"/>
      <c r="I7" s="125"/>
      <c r="J7" s="125"/>
      <c r="K7" s="121"/>
      <c r="L7" s="125"/>
      <c r="M7" s="125"/>
      <c r="N7" s="121"/>
      <c r="O7" s="121"/>
      <c r="P7" s="121"/>
      <c r="Q7" s="122"/>
    </row>
    <row r="8" s="114" customFormat="true" ht="15" hidden="false" customHeight="true" outlineLevel="0" collapsed="false">
      <c r="A8" s="126" t="s">
        <v>153</v>
      </c>
      <c r="B8" s="127" t="n">
        <f aca="false">COUNTIF($F10:$F996,B5)</f>
        <v>0</v>
      </c>
      <c r="C8" s="127" t="n">
        <f aca="false">COUNTIF($F10:$F996,C5)</f>
        <v>0</v>
      </c>
      <c r="D8" s="127" t="n">
        <f aca="false">COUNTIF($F10:$F996,D5)</f>
        <v>6</v>
      </c>
      <c r="E8" s="128" t="n">
        <f aca="false">COUNTIF($F10:$F996,E5)</f>
        <v>0</v>
      </c>
      <c r="F8" s="125"/>
      <c r="G8" s="125"/>
      <c r="H8" s="121"/>
      <c r="I8" s="125"/>
      <c r="J8" s="125"/>
      <c r="K8" s="121"/>
      <c r="L8" s="125"/>
      <c r="M8" s="125"/>
      <c r="N8" s="121"/>
      <c r="O8" s="121"/>
      <c r="P8" s="121"/>
      <c r="Q8" s="122"/>
    </row>
    <row r="9" s="114" customFormat="true" ht="15" hidden="false" customHeight="true" outlineLevel="0" collapsed="false">
      <c r="A9" s="121"/>
      <c r="B9" s="121"/>
      <c r="C9" s="121"/>
      <c r="D9" s="121"/>
      <c r="E9" s="121"/>
      <c r="F9" s="100"/>
      <c r="G9" s="121"/>
      <c r="H9" s="121"/>
      <c r="I9" s="100"/>
      <c r="J9" s="121"/>
      <c r="K9" s="121"/>
      <c r="L9" s="100"/>
      <c r="M9" s="121"/>
      <c r="N9" s="121"/>
      <c r="O9" s="121"/>
      <c r="P9" s="121"/>
      <c r="Q9" s="122"/>
    </row>
    <row r="10" s="114" customFormat="true" ht="42" hidden="false" customHeight="true" outlineLevel="0" collapsed="false">
      <c r="A10" s="129" t="s">
        <v>154</v>
      </c>
      <c r="B10" s="129" t="s">
        <v>155</v>
      </c>
      <c r="C10" s="129" t="s">
        <v>156</v>
      </c>
      <c r="D10" s="129" t="s">
        <v>157</v>
      </c>
      <c r="E10" s="129" t="s">
        <v>29</v>
      </c>
      <c r="F10" s="129" t="s">
        <v>151</v>
      </c>
      <c r="G10" s="129" t="s">
        <v>158</v>
      </c>
      <c r="H10" s="129" t="s">
        <v>159</v>
      </c>
      <c r="I10" s="129" t="s">
        <v>152</v>
      </c>
      <c r="J10" s="129" t="s">
        <v>158</v>
      </c>
      <c r="K10" s="129" t="s">
        <v>159</v>
      </c>
      <c r="L10" s="129" t="s">
        <v>153</v>
      </c>
      <c r="M10" s="129" t="s">
        <v>158</v>
      </c>
      <c r="N10" s="129" t="s">
        <v>159</v>
      </c>
      <c r="O10" s="129" t="s">
        <v>112</v>
      </c>
      <c r="Q10" s="130"/>
    </row>
    <row r="11" s="114" customFormat="true" ht="15.75" hidden="false" customHeight="true" outlineLevel="0" collapsed="false">
      <c r="A11" s="131" t="s">
        <v>160</v>
      </c>
      <c r="B11" s="132"/>
      <c r="C11" s="133"/>
      <c r="D11" s="133"/>
      <c r="E11" s="133"/>
      <c r="F11" s="133"/>
      <c r="G11" s="133"/>
      <c r="H11" s="133"/>
      <c r="I11" s="133"/>
      <c r="J11" s="133"/>
      <c r="K11" s="133"/>
      <c r="L11" s="133"/>
      <c r="M11" s="133"/>
      <c r="N11" s="133"/>
      <c r="O11" s="134"/>
      <c r="Q11" s="135"/>
    </row>
    <row r="12" s="139" customFormat="true" ht="109.5" hidden="false" customHeight="true" outlineLevel="1" collapsed="false">
      <c r="A12" s="136" t="s">
        <v>276</v>
      </c>
      <c r="B12" s="137" t="s">
        <v>277</v>
      </c>
      <c r="C12" s="137" t="s">
        <v>278</v>
      </c>
      <c r="D12" s="46" t="s">
        <v>279</v>
      </c>
      <c r="E12" s="46" t="s">
        <v>94</v>
      </c>
      <c r="F12" s="136" t="s">
        <v>117</v>
      </c>
      <c r="G12" s="136"/>
      <c r="H12" s="136"/>
      <c r="I12" s="116" t="s">
        <v>150</v>
      </c>
      <c r="J12" s="116"/>
      <c r="K12" s="116"/>
      <c r="L12" s="116" t="s">
        <v>150</v>
      </c>
      <c r="M12" s="116"/>
      <c r="N12" s="116"/>
      <c r="O12" s="138" t="s">
        <v>280</v>
      </c>
      <c r="Q12" s="140"/>
    </row>
    <row r="13" customFormat="false" ht="109.5" hidden="false" customHeight="true" outlineLevel="1" collapsed="false">
      <c r="A13" s="136" t="s">
        <v>281</v>
      </c>
      <c r="B13" s="116" t="s">
        <v>282</v>
      </c>
      <c r="C13" s="116" t="s">
        <v>283</v>
      </c>
      <c r="D13" s="141" t="s">
        <v>284</v>
      </c>
      <c r="E13" s="141" t="s">
        <v>97</v>
      </c>
      <c r="F13" s="136" t="s">
        <v>117</v>
      </c>
      <c r="G13" s="136"/>
      <c r="H13" s="136"/>
      <c r="I13" s="116" t="s">
        <v>150</v>
      </c>
      <c r="J13" s="116"/>
      <c r="K13" s="116"/>
      <c r="L13" s="116" t="s">
        <v>150</v>
      </c>
      <c r="M13" s="116"/>
      <c r="N13" s="116"/>
      <c r="O13" s="138" t="s">
        <v>285</v>
      </c>
      <c r="Q13" s="140"/>
    </row>
    <row r="14" customFormat="false" ht="109.5" hidden="false" customHeight="true" outlineLevel="1" collapsed="false">
      <c r="A14" s="136" t="s">
        <v>286</v>
      </c>
      <c r="B14" s="116" t="s">
        <v>242</v>
      </c>
      <c r="C14" s="116" t="s">
        <v>287</v>
      </c>
      <c r="D14" s="141" t="s">
        <v>288</v>
      </c>
      <c r="E14" s="141" t="s">
        <v>100</v>
      </c>
      <c r="F14" s="136" t="s">
        <v>117</v>
      </c>
      <c r="G14" s="136"/>
      <c r="H14" s="136"/>
      <c r="I14" s="116" t="s">
        <v>150</v>
      </c>
      <c r="J14" s="116"/>
      <c r="K14" s="116"/>
      <c r="L14" s="116" t="s">
        <v>150</v>
      </c>
      <c r="M14" s="116"/>
      <c r="N14" s="116"/>
      <c r="O14" s="138" t="s">
        <v>289</v>
      </c>
      <c r="Q14" s="140"/>
    </row>
    <row r="15" s="114" customFormat="true" ht="109.5" hidden="false" customHeight="true" outlineLevel="0" collapsed="false">
      <c r="A15" s="142" t="s">
        <v>290</v>
      </c>
      <c r="B15" s="143" t="s">
        <v>291</v>
      </c>
      <c r="C15" s="144" t="s">
        <v>292</v>
      </c>
      <c r="D15" s="144" t="s">
        <v>293</v>
      </c>
      <c r="E15" s="144" t="s">
        <v>103</v>
      </c>
      <c r="F15" s="145" t="s">
        <v>117</v>
      </c>
      <c r="G15" s="145"/>
      <c r="H15" s="145"/>
      <c r="I15" s="144" t="s">
        <v>150</v>
      </c>
      <c r="J15" s="144"/>
      <c r="K15" s="144"/>
      <c r="L15" s="144" t="s">
        <v>150</v>
      </c>
      <c r="M15" s="144"/>
      <c r="N15" s="144"/>
      <c r="O15" s="146" t="s">
        <v>294</v>
      </c>
      <c r="Q15" s="135"/>
    </row>
    <row r="16" customFormat="false" ht="109.5" hidden="false" customHeight="true" outlineLevel="1" collapsed="false">
      <c r="A16" s="136" t="s">
        <v>295</v>
      </c>
      <c r="B16" s="116" t="s">
        <v>296</v>
      </c>
      <c r="C16" s="116" t="s">
        <v>297</v>
      </c>
      <c r="D16" s="116" t="s">
        <v>298</v>
      </c>
      <c r="E16" s="116" t="s">
        <v>106</v>
      </c>
      <c r="F16" s="136" t="s">
        <v>117</v>
      </c>
      <c r="G16" s="136"/>
      <c r="H16" s="136"/>
      <c r="I16" s="116" t="s">
        <v>150</v>
      </c>
      <c r="J16" s="116"/>
      <c r="K16" s="116"/>
      <c r="L16" s="116" t="s">
        <v>150</v>
      </c>
      <c r="M16" s="116"/>
      <c r="N16" s="116"/>
      <c r="O16" s="138" t="s">
        <v>299</v>
      </c>
      <c r="Q16" s="140"/>
    </row>
    <row r="17" customFormat="false" ht="109.5" hidden="false" customHeight="true" outlineLevel="1" collapsed="false">
      <c r="A17" s="136" t="s">
        <v>300</v>
      </c>
      <c r="B17" s="116" t="s">
        <v>301</v>
      </c>
      <c r="C17" s="116" t="s">
        <v>302</v>
      </c>
      <c r="D17" s="116" t="s">
        <v>303</v>
      </c>
      <c r="E17" s="116" t="s">
        <v>109</v>
      </c>
      <c r="F17" s="136" t="s">
        <v>117</v>
      </c>
      <c r="G17" s="147"/>
      <c r="H17" s="147"/>
      <c r="I17" s="116" t="s">
        <v>150</v>
      </c>
      <c r="J17" s="138"/>
      <c r="K17" s="138"/>
      <c r="L17" s="116" t="s">
        <v>150</v>
      </c>
      <c r="M17" s="138"/>
      <c r="N17" s="138"/>
      <c r="O17" s="138" t="s">
        <v>304</v>
      </c>
      <c r="Q17" s="148"/>
    </row>
    <row r="18" customFormat="false" ht="109.5" hidden="false" customHeight="true" outlineLevel="0" collapsed="false">
      <c r="A18" s="50"/>
    </row>
    <row r="19" customFormat="false" ht="109.5" hidden="false" customHeight="true" outlineLevel="0" collapsed="false"/>
    <row r="20" customFormat="false" ht="109.5" hidden="false" customHeight="true" outlineLevel="0" collapsed="false"/>
    <row r="21" customFormat="false" ht="109.5" hidden="false" customHeight="true" outlineLevel="0" collapsed="false"/>
    <row r="22" customFormat="false" ht="109.5" hidden="false" customHeight="true" outlineLevel="0" collapsed="false"/>
    <row r="23" customFormat="false" ht="109.5" hidden="false" customHeight="true" outlineLevel="0" collapsed="false"/>
    <row r="24" customFormat="false" ht="109.5" hidden="false" customHeight="true" outlineLevel="0" collapsed="false"/>
    <row r="25" customFormat="false" ht="109.5" hidden="false" customHeight="true" outlineLevel="0" collapsed="false"/>
    <row r="26" customFormat="false" ht="109.5" hidden="false" customHeight="true" outlineLevel="0" collapsed="false"/>
  </sheetData>
  <mergeCells count="3">
    <mergeCell ref="B2:E2"/>
    <mergeCell ref="B3:E3"/>
    <mergeCell ref="B4:E4"/>
  </mergeCells>
  <dataValidations count="2">
    <dataValidation allowBlank="true" errorStyle="stop" operator="between" showDropDown="false" showErrorMessage="true" showInputMessage="false" sqref="F10 I10 L10" type="none">
      <formula1>0</formula1>
      <formula2>0</formula2>
    </dataValidation>
    <dataValidation allowBlank="true" errorStyle="stop" operator="between" showDropDown="false" showErrorMessage="true" showInputMessage="false" sqref="G2:G3 J2:J3 M2:M3 G9 J9 M9 F12:F17 I12:I17 L12:L17 G18:G145 J18:J145 M18:M145" type="list">
      <formula1>$R$2:$R$5</formula1>
      <formula2>0</formula2>
    </dataValidation>
  </dataValidations>
  <printOptions headings="false" gridLines="false" gridLinesSet="true" horizontalCentered="false" verticalCentered="false"/>
  <pageMargins left="0.747916666666667" right="0.25" top="0.75" bottom="0.984027777777778" header="0.5" footer="0.5"/>
  <pageSetup paperSize="9" fitToWidth="2" fitToHeight="0" pageOrder="downThenOver" orientation="landscape" blackAndWhite="false" draft="false" cellComments="none" horizontalDpi="300" verticalDpi="300" copies="1"/>
  <headerFooter differentFirst="false" differentOddEven="false">
    <oddHeader>&amp;LFacilitate_Test Case\Company&amp;Rv1.0</oddHeader>
    <oddFooter>&amp;L&amp;"Tahoma,Regular"&amp;8 02ae-BM/PM/HDCV/FSOFT v2/0&amp;C&amp;"Tahoma,Regular"&amp;10 Internal use&amp;R&amp;"Tahoma,Regular"&amp;8 &amp;P/&amp;N</oddFooter>
  </headerFooter>
  <legacyDrawing ns1:id="rId2"/>
</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BM</cp:category>
  <dcterms:created xsi:type="dcterms:W3CDTF">2020-03-17T17:34:29Z</dcterms:created>
  <dc:creator>IDTS SAP01 Team</dc:creator>
  <dc:description>Official-template-filled current mentor-review artifact generated from docs/qa/test-catalog.json.</dc:description>
  <dc:language>en-US</dc:language>
  <cp:lastModifiedBy>IDTS SAP01 Team</cp:lastModifiedBy>
  <cp:lastPrinted>2024-05-06T01:11:17Z</cp:lastPrinted>
  <dcterms:modified xsi:type="dcterms:W3CDTF">2026-07-24T16:11:12Z</dcterms:modified>
  <cp:revision>0</cp:revision>
  <dc:subject>v1/0</dc:subject>
  <dc:title>IDTS SAP490 Test Report VI v0.4</dc:title>
</cp:coreProperties>
</file>

<file path=docProps/custom.xml><?xml version="1.0" encoding="utf-8"?>
<Properties xmlns="http://schemas.openxmlformats.org/officeDocument/2006/custom-properties" xmlns:vt="http://schemas.openxmlformats.org/officeDocument/2006/docPropsVTypes"/>
</file>