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ns1="http://schemas.openxmlformats.org/officeDocument/2006/relationships" xmlns:ns2="http://schemas.libreoffice.org/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21" firstSheet="0" activeTab="3"/>
  </bookViews>
  <sheets>
    <sheet name="Cover" sheetId="1" state="visible" ns1:id="rId3"/>
    <sheet name="Test Cases" sheetId="2" state="visible" ns1:id="rId4"/>
    <sheet name="Test Statistics" sheetId="3" state="visible" ns1:id="rId5"/>
    <sheet name="Feature 1" sheetId="4" state="visible" ns1:id="rId6"/>
    <sheet name="Feature 2" sheetId="5" state="visible" ns1:id="rId7"/>
  </sheets>
  <definedNames>
    <definedName function="false" hidden="false" localSheetId="0" name="_xlnm.Print_Area" vbProcedure="false">Cover!$A$1:$F$17</definedName>
    <definedName function="false" hidden="false" localSheetId="3" name="_xlnm.Print_Area" vbProcedure="false">'Feature 1'!$A$1:$O$23</definedName>
    <definedName function="false" hidden="false" localSheetId="3" name="_xlnm.Print_Titles" vbProcedure="false">'Feature 1'!$1:$10</definedName>
    <definedName function="false" hidden="false" localSheetId="4" name="_xlnm.Print_Area" vbProcedure="false">'Feature 2'!$A$1:$O$26</definedName>
    <definedName function="false" hidden="false" localSheetId="4" name="_xlnm.Print_Titles" vbProcedure="false">'Feature 2'!$1:$10</definedName>
    <definedName function="false" hidden="false" localSheetId="1" name="_xlnm.Print_Area" vbProcedure="false">'Test Cases'!$B$1:$F$35</definedName>
    <definedName function="false" hidden="false" localSheetId="1" name="_xlnm.Print_Titles" vbProcedure="false">'Test Cases'!$1:$8</definedName>
    <definedName function="false" hidden="false" localSheetId="2" name="_xlnm.Print_Area" vbProcedure="false">'Test Statistics'!$B$1:$H$29</definedName>
    <definedName function="false" hidden="false" localSheetId="2" name="_xlnm.Print_Titles" vbProcedure="false">'Test Statistics'!$1:$10</definedName>
  </definedNames>
  <calcPr iterateCount="100" refMode="A1" iterate="false" iterateDelta="0.0001"/>
  <extLst>
    <ext uri="{7626C862-2A13-11E5-B345-FEFF819CDC9F}">
      <ns2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None</author>
  </authors>
  <commentList>
    <comment ref="D10" authorId="0">
      <text>
        <r>
          <rPr>
            <sz val="10"/>
            <rFont val="Arial"/>
            <family val="2"/>
          </rPr>
          <t xml:space="preserve">*A: Add
  M: Modify
  D: Delete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14</xdr:rowOff>
              </xdr:from>
              <xdr:to>
                <xdr:col>2</xdr:col>
                <xdr:colOff>8</xdr:colOff>
                <xdr:row>1</xdr:row>
                <xdr:rowOff>76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tqsang</author>
  </authors>
  <commentList>
    <comment ref="E10" authorId="0">
      <text>
        <r>
          <rPr>
            <sz val="10"/>
            <rFont val="Arial"/>
            <family val="2"/>
          </rPr>
          <t xml:space="preserve">List all test cases (must run before this case), conditions that must be done, or required state that the system should be in before performing this case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79</xdr:colOff>
                <xdr:row>1</xdr:row>
                <xdr:rowOff>33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<sst xmlns="http://schemas.openxmlformats.org/spreadsheetml/2006/main" count="524" uniqueCount="304">
  <si>
    <t xml:space="preserve">TÀI LIỆU BÁO CÁO KIỂM THỬ</t>
  </si>
  <si>
    <t xml:space="preserve">Tên dự án</t>
  </si>
  <si>
    <t xml:space="preserve">Issue and Defect Tracking System in SAP</t>
  </si>
  <si>
    <t xml:space="preserve">Người tạo</t>
  </si>
  <si>
    <t xml:space="preserve">DonHV</t>
  </si>
  <si>
    <t xml:space="preserve">Mã dự án</t>
  </si>
  <si>
    <t xml:space="preserve">IDTS-SAP01</t>
  </si>
  <si>
    <t xml:space="preserve">Ngày phát hành</t>
  </si>
  <si>
    <t xml:space="preserve">Mã tài liệu</t>
  </si>
  <si>
    <t xml:space="preserve">IDTS-SAP01_Test Report_v0.3</t>
  </si>
  <si>
    <t xml:space="preserve">Phiên bản</t>
  </si>
  <si>
    <t xml:space="preserve">0.3</t>
  </si>
  <si>
    <t xml:space="preserve">Lịch sử thay đổi</t>
  </si>
  <si>
    <t xml:space="preserve">Ngày hiệu lực</t>
  </si>
  <si>
    <t xml:space="preserve">Hạng mục thay đổi</t>
  </si>
  <si>
    <t xml:space="preserve">*A,D,M</t>
  </si>
  <si>
    <t xml:space="preserve">Mô tả thay đổi</t>
  </si>
  <si>
    <t xml:space="preserve">Tham chiếu</t>
  </si>
  <si>
    <t xml:space="preserve">Toàn bộ test pack SAP490</t>
  </si>
  <si>
    <t xml:space="preserve">M</t>
  </si>
  <si>
    <t xml:space="preserve">Đối soát từ case chuẩn và lệnh npm chính xác; Pending/Prepared không phải Passed.</t>
  </si>
  <si>
    <t xml:space="preserve">docs/qa/test-catalog.json</t>
  </si>
  <si>
    <t xml:space="preserve">DANH SÁCH CA KIỂM THỬ</t>
  </si>
  <si>
    <t xml:space="preserve">Mô tả thiết lập môi trường test</t>
  </si>
  <si>
    <t xml:space="preserve">Node.js/CAP/SQLite local; role seed; môi trường chính xác ghi theo từng case.</t>
  </si>
  <si>
    <t xml:space="preserve">STT</t>
  </si>
  <si>
    <t xml:space="preserve">Tên chức năng</t>
  </si>
  <si>
    <t xml:space="preserve">Tên trang tính</t>
  </si>
  <si>
    <t xml:space="preserve">Mô tả</t>
  </si>
  <si>
    <t xml:space="preserve">Điều kiện trước</t>
  </si>
  <si>
    <t xml:space="preserve">UT-AI-001 — Cấu hình AI mặc định bị tắt</t>
  </si>
  <si>
    <t xml:space="preserve">Feature 1</t>
  </si>
  <si>
    <t xml:space="preserve">SRS-FR-AI-003
UNIT / PASSED</t>
  </si>
  <si>
    <t xml:space="preserve">Không có cấu hình AI riêng tư.</t>
  </si>
  <si>
    <t xml:space="preserve">UT-AI-002 — Mapping mock chat và structured response</t>
  </si>
  <si>
    <t xml:space="preserve">Mock mode được bật.</t>
  </si>
  <si>
    <t xml:space="preserve">UT-AI-003 — Mapping model và số chiều embedding</t>
  </si>
  <si>
    <t xml:space="preserve">Đã cấu hình số chiều mock embedding.</t>
  </si>
  <si>
    <t xml:space="preserve">UT-AI-004 — Provider error và timeout được sanitize</t>
  </si>
  <si>
    <t xml:space="preserve">SRS-FR-AI-002, SRS-FR-AI-003
UNIT / PASSED</t>
  </si>
  <si>
    <t xml:space="preserve">Có mode provider error và timeout được kiểm soát.</t>
  </si>
  <si>
    <t xml:space="preserve">UT-AI-005 — Secret redactor che các key đại diện</t>
  </si>
  <si>
    <t xml:space="preserve">Redactor đã được load.</t>
  </si>
  <si>
    <t xml:space="preserve">FT-CREATE-001 — Tạo bug hợp lệ qua service</t>
  </si>
  <si>
    <t xml:space="preserve">SRS-FR-BUG-001, SRS-FR-CLASS-003
FUNCTIONAL_API / PASSED</t>
  </si>
  <si>
    <t xml:space="preserve">Tester đã đăng nhập; có priority, severity và environment active.</t>
  </si>
  <si>
    <t xml:space="preserve">FT-VALID-001 — Từ chối catalog sai, rỗng và inactive</t>
  </si>
  <si>
    <t xml:space="preserve">SRS-FR-BUG-002, SRS-FR-CLASS-003, SRS-FR-STATUS-008
FUNCTIONAL_API / PASSED</t>
  </si>
  <si>
    <t xml:space="preserve">Tester đã đăng nhập; có reference value hợp lệ và inactive.</t>
  </si>
  <si>
    <t xml:space="preserve">FT-AUTHZ-001 — Chỉ Tester hoặc PM được bắt đầu bug draft</t>
  </si>
  <si>
    <t xml:space="preserve">SRS-FR-AUTH-002, SRS-FR-BUG-001
FUNCTIONAL_API / PASSED</t>
  </si>
  <si>
    <t xml:space="preserve">Có user seed cho cả ba role.</t>
  </si>
  <si>
    <t xml:space="preserve">FT-AUTH-SESSION-001 — Ranh giới xác thực, bearer session và đăng xuất</t>
  </si>
  <si>
    <t xml:space="preserve">SRS-FR-AUTH-001, SRS-FR-AUTH-002
PROGRAMMATIC_REGRESSION / PASSED</t>
  </si>
  <si>
    <t xml:space="preserve">CAP local có identity seed; không dùng identity provider production.</t>
  </si>
  <si>
    <t xml:space="preserve">FT-DUP-001 — Hỗ trợ kiểm tra trùng trước khi tạo</t>
  </si>
  <si>
    <t xml:space="preserve">Feature 2</t>
  </si>
  <si>
    <t xml:space="preserve">SRS-FR-BUG-003
FUNCTIONAL_UI_API / NOT_RUN</t>
  </si>
  <si>
    <t xml:space="preserve">Tester đã đăng nhập; có ít nhất một bug tương tự và một bug không liên quan.</t>
  </si>
  <si>
    <t xml:space="preserve">FT-CLASS-ASSIGN-001 — Phân loại và assign theo responsibility active</t>
  </si>
  <si>
    <t xml:space="preserve">SRS-FR-CLASS-001, SRS-FR-CLASS-004, SRS-FR-ASSIGN-001
FUNCTIONAL_UI_API / NOT_RUN</t>
  </si>
  <si>
    <t xml:space="preserve">Có classification pair và Developer Responsibility active.</t>
  </si>
  <si>
    <t xml:space="preserve">FT-PENDING-001 — Tạo bug không có assignee</t>
  </si>
  <si>
    <t xml:space="preserve">SRS-FR-ASSIGN-003, SRS-FR-STATUS-009
FUNCTIONAL_UI_API / NOT_RUN</t>
  </si>
  <si>
    <t xml:space="preserve">Tester đã đăng nhập và mọi field bắt buộc hợp lệ.</t>
  </si>
  <si>
    <t xml:space="preserve">FT-REASSIGN-001 — Reassign có history</t>
  </si>
  <si>
    <t xml:space="preserve">SRS-FR-ASSIGN-004, SRS-FR-AUDIT-001
FUNCTIONAL_UI_API / NOT_RUN</t>
  </si>
  <si>
    <t xml:space="preserve">Có bug đã assign và Developer phù hợp thứ hai.</t>
  </si>
  <si>
    <t xml:space="preserve">FT-DEV-INFO-001 — Developer review và Request More Information</t>
  </si>
  <si>
    <t xml:space="preserve">SRS-FR-STATUS-001, SRS-FR-STATUS-002, SRS-FR-STATUS-009
FUNCTIONAL_UI_API / NOT_RUN</t>
  </si>
  <si>
    <t xml:space="preserve">Bug đã assign; có account Developer được assign và không được assign.</t>
  </si>
  <si>
    <t xml:space="preserve">FT-REJECT-001 — Reject, sửa và reassign</t>
  </si>
  <si>
    <t xml:space="preserve">SRS-FR-STATUS-003, SRS-FR-STATUS-004, SRS-FR-STATUS-009
FUNCTIONAL_UI_API / NOT_RUN</t>
  </si>
  <si>
    <t xml:space="preserve">Bug đã assign nhưng classification hoặc owner không phù hợp.</t>
  </si>
  <si>
    <t xml:space="preserve">FT-LIFECYCLE-001 — Resolve, retest, close và reopen</t>
  </si>
  <si>
    <t xml:space="preserve">SRS-FR-STATUS-005, SRS-FR-STATUS-006, SRS-FR-STATUS-007, SRS-FR-STATUS-008
FUNCTIONAL_UI_API / NOT_RUN</t>
  </si>
  <si>
    <t xml:space="preserve">Bug đang In Progress và tái hiện được.</t>
  </si>
  <si>
    <t xml:space="preserve">FT-COMMENT-001 — Thêm comment và giữ lại sau reconnect</t>
  </si>
  <si>
    <t xml:space="preserve">SRS-FR-COMMENT-001, SRS-FR-COMMENT-002
FUNCTIONAL_API / PASSED</t>
  </si>
  <si>
    <t xml:space="preserve">Có bug và test database dạng file.</t>
  </si>
  <si>
    <t xml:space="preserve">FT-ATTACH-001 — Upload, download, reload và xóa attachment</t>
  </si>
  <si>
    <t xml:space="preserve">SRS-DATA-007, SRS-FR-AUDIT-001
FUNCTIONAL_HTTP_UI / NOT_RUN</t>
  </si>
  <si>
    <t xml:space="preserve">Tester đã đăng nhập, có bug và file evidence nhỏ được phép.</t>
  </si>
  <si>
    <t xml:space="preserve">FT-NOTIF-001 — Notification outbox success, failure, retry và rollback isolation</t>
  </si>
  <si>
    <t xml:space="preserve">SRS-FR-NOTIF-001, SRS-FR-NOTIF-002, SRS-FR-DELIVERY-001
FUNCTIONAL_INTEGRATION / PASSED</t>
  </si>
  <si>
    <t xml:space="preserve">Có bug và recipient seed; fake transport có kiểm soát.</t>
  </si>
  <si>
    <t xml:space="preserve">FT-PM-001 — Flag, queue và current action owner cho PM</t>
  </si>
  <si>
    <t xml:space="preserve">SRS-FR-PM-001, SRS-FR-PM-002, SRS-FR-PM-003, SRS-FR-STATUS-009
FUNCTIONAL_API / PASSED</t>
  </si>
  <si>
    <t xml:space="preserve">Có bug seed open, closed, pending và rejected.</t>
  </si>
  <si>
    <t xml:space="preserve">FT-AI-REVIEW-001 — Con người review AI suggestion mà không tự động mutation</t>
  </si>
  <si>
    <t xml:space="preserve">SRS-FR-AI-002, SRS-FR-AI-003
FUNCTIONAL_UI_API / NOT_RUN</t>
  </si>
  <si>
    <t xml:space="preserve">User đã đăng nhập; có mode AI disabled và suggestion có kiểm soát.</t>
  </si>
  <si>
    <t xml:space="preserve">UAT-001 — Tạo và phân loại bug</t>
  </si>
  <si>
    <t xml:space="preserve">SRS-FR-BUG-001, SRS-FR-BUG-002, SRS-FR-CLASS-003, SRS-FR-ASSIGN-003
UAT / PREPARED</t>
  </si>
  <si>
    <t xml:space="preserve">Mentor/user có account Tester và test data sạch.</t>
  </si>
  <si>
    <t xml:space="preserve">UAT-002 — Developer review, request information và rejection</t>
  </si>
  <si>
    <t xml:space="preserve">SRS-FR-STATUS-001, SRS-FR-STATUS-002, SRS-FR-STATUS-003, SRS-FR-STATUS-004
UAT / PREPARED</t>
  </si>
  <si>
    <t xml:space="preserve">Một bug assign phù hợp và một bug không phù hợp.</t>
  </si>
  <si>
    <t xml:space="preserve">UAT-003 — Resolve, retest, close và reopen</t>
  </si>
  <si>
    <t xml:space="preserve">SRS-FR-STATUS-005, SRS-FR-STATUS-006, SRS-FR-STATUS-007
UAT / PREPARED</t>
  </si>
  <si>
    <t xml:space="preserve">Hai bug đang In Progress.</t>
  </si>
  <si>
    <t xml:space="preserve">UAT-004 — Comment và attachment evidence</t>
  </si>
  <si>
    <t xml:space="preserve">SRS-FR-COMMENT-001, SRS-DATA-007, SRS-FR-AUDIT-001
UAT / PREPARED</t>
  </si>
  <si>
    <t xml:space="preserve">Có bug và file nhỏ hợp lệ.</t>
  </si>
  <si>
    <t xml:space="preserve">UAT-005 — PM monitoring và action ownership</t>
  </si>
  <si>
    <t xml:space="preserve">SRS-FR-PM-001, SRS-FR-PM-002, SRS-FR-PM-003
UAT / PREPARED</t>
  </si>
  <si>
    <t xml:space="preserve">Có bug đại diện cho từng state cần monitor.</t>
  </si>
  <si>
    <t xml:space="preserve">UAT-006 — AI advisory và fallback an toàn</t>
  </si>
  <si>
    <t xml:space="preserve">SRS-FR-AI-002, SRS-FR-AI-003
UAT / PREPARED</t>
  </si>
  <si>
    <t xml:space="preserve">Có mode suggestion và disabled/failure được kiểm soát.</t>
  </si>
  <si>
    <t xml:space="preserve">THỐNG KÊ KIỂM THỬ</t>
  </si>
  <si>
    <t xml:space="preserve">Mentor / Giảng viên</t>
  </si>
  <si>
    <t xml:space="preserve">Ghi chú</t>
  </si>
  <si>
    <t xml:space="preserve">27 kế hoạch; 12 đã chạy; 12 đạt; 0 không đạt; 0 bị chặn; 15 Chưa chạy/Prepared. Pending không phải Passed.</t>
  </si>
  <si>
    <t xml:space="preserve">Mã phân hệ</t>
  </si>
  <si>
    <t xml:space="preserve">Passed</t>
  </si>
  <si>
    <t xml:space="preserve">Failed</t>
  </si>
  <si>
    <t xml:space="preserve">Pending</t>
  </si>
  <si>
    <t xml:space="preserve">Bị chặn</t>
  </si>
  <si>
    <t xml:space="preserve">Số ca kiểm thử</t>
  </si>
  <si>
    <t xml:space="preserve">Xác minh unit/API/integration đã chạy</t>
  </si>
  <si>
    <t xml:space="preserve">Chuẩn bị functional manual và UAT</t>
  </si>
  <si>
    <t xml:space="preserve">Tổng phụ</t>
  </si>
  <si>
    <t xml:space="preserve">Tỷ lệ thực thi case</t>
  </si>
  <si>
    <t xml:space="preserve">Tỷ lệ đạt trên case đã chạy</t>
  </si>
  <si>
    <t xml:space="preserve">Metric</t>
  </si>
  <si>
    <t xml:space="preserve">Giá trị</t>
  </si>
  <si>
    <t xml:space="preserve">Cách tính / phạm vi</t>
  </si>
  <si>
    <t xml:space="preserve">Case kế hoạch</t>
  </si>
  <si>
    <t xml:space="preserve">27 canonical cases</t>
  </si>
  <si>
    <t xml:space="preserve">Case đã thực thi</t>
  </si>
  <si>
    <t xml:space="preserve">12 Passed + 0 Failed</t>
  </si>
  <si>
    <t xml:space="preserve">Đạt</t>
  </si>
  <si>
    <t xml:space="preserve">Fresh evidence and required execution metadata</t>
  </si>
  <si>
    <t xml:space="preserve">Không đạt</t>
  </si>
  <si>
    <t xml:space="preserve">Executed failed outcomes</t>
  </si>
  <si>
    <t xml:space="preserve">Execution blockers</t>
  </si>
  <si>
    <t xml:space="preserve">Chưa chạy / Đang chờ</t>
  </si>
  <si>
    <t xml:space="preserve">9 NOT_RUN + 6 PREPARED</t>
  </si>
  <si>
    <t xml:space="preserve">Truy vết requirement theo kế hoạch</t>
  </si>
  <si>
    <t xml:space="preserve">32 / 32</t>
  </si>
  <si>
    <t xml:space="preserve">Coverage requirement đã thực thi</t>
  </si>
  <si>
    <t xml:space="preserve">17 / 32</t>
  </si>
  <si>
    <t xml:space="preserve">Số assertion/check tự động</t>
  </si>
  <si>
    <t xml:space="preserve">Fresh suite-reported checks; skipped checks are not Pass</t>
  </si>
  <si>
    <t xml:space="preserve">Số defect</t>
  </si>
  <si>
    <t xml:space="preserve">Real tracked defects; no synthetic defect</t>
  </si>
  <si>
    <t xml:space="preserve">Chức năng</t>
  </si>
  <si>
    <t xml:space="preserve">Yêu cầu kiểm thử</t>
  </si>
  <si>
    <t xml:space="preserve">Case đã thực thi mới với lệnh chính xác hoặc evidence trực tiếp.</t>
  </si>
  <si>
    <t xml:space="preserve">Vòng kiểm thử</t>
  </si>
  <si>
    <t xml:space="preserve">Blocked</t>
  </si>
  <si>
    <t xml:space="preserve">N/A</t>
  </si>
  <si>
    <t xml:space="preserve">Vòng 1</t>
  </si>
  <si>
    <t xml:space="preserve">Vòng 2</t>
  </si>
  <si>
    <t xml:space="preserve">Vòng 3</t>
  </si>
  <si>
    <t xml:space="preserve">Mã ca kiểm thử</t>
  </si>
  <si>
    <t xml:space="preserve">Mô tả ca kiểm thử</t>
  </si>
  <si>
    <t xml:space="preserve">Quy trình kiểm thử</t>
  </si>
  <si>
    <t xml:space="preserve">Kết quả dự kiến</t>
  </si>
  <si>
    <t xml:space="preserve">Ngày test</t>
  </si>
  <si>
    <t xml:space="preserve">Người thực thi</t>
  </si>
  <si>
    <t xml:space="preserve">Ca kiểm thử</t>
  </si>
  <si>
    <t xml:space="preserve">UT-AI-001</t>
  </si>
  <si>
    <t xml:space="preserve">Cấu hình AI mặc định bị tắt</t>
  </si>
  <si>
    <t xml:space="preserve">Req: SRS-FR-AI-003 | Vai trò: N/A — module test | Dữ liệu: Object cấu hình mặc định. | 1) Load cấu hình AI. | 2) Gọi chat qua wrapper. | 3) Kiểm tra success/status và kết quả đã sanitize.</t>
  </si>
  <si>
    <t xml:space="preserve">enabled=false; kết quả là AI_DISABLED; không exception hoặc diagnostic không an toàn.</t>
  </si>
  <si>
    <t xml:space="preserve">2026-07-23T10:59:19+07:00</t>
  </si>
  <si>
    <t xml:space="preserve">Thực tế: Đạt trong REG-AI-20260723. | Bằng chứng: scripts/qa/test-idts64-ai-provider.js | Defect: None | Giới hạn: Không dùng provider live. | Điều kiện sau: Không đổi business data.</t>
  </si>
  <si>
    <t xml:space="preserve">UT-AI-002</t>
  </si>
  <si>
    <t xml:space="preserve">Mapping mock chat và structured response</t>
  </si>
  <si>
    <t xml:space="preserve">Req: SRS-FR-AI-003 | Vai trò: N/A — module test | Dữ liệu: Text an toàn và schema ClassificationSuggestion. | 1) Cấu hình mock provider. | 2) Gọi chat và structured operation. | 3) So sánh model, text và schema đã map.</t>
  </si>
  <si>
    <t xml:space="preserve">Cả hai operation thành công và secret nguồn bị loại không xuất hiện.</t>
  </si>
  <si>
    <t xml:space="preserve">Thực tế: Đạt trong REG-AI-20260723. | Bằng chứng: scripts/qa/test-idts64-ai-provider.js | Defect: None | Giới hạn: Chỉ dùng mock deterministic. | Điều kiện sau: Không đổi business data.</t>
  </si>
  <si>
    <t xml:space="preserve">UT-AI-003</t>
  </si>
  <si>
    <t xml:space="preserve">Mapping model và số chiều embedding</t>
  </si>
  <si>
    <t xml:space="preserve">Req: SRS-FR-AI-003 | Vai trò: N/A — module test | Dữ liệu: Vector mock sáu chiều. | 1) Cấu hình dimension=6. | 2) Yêu cầu embedding. | 3) So sánh dimension, độ dài vector và model alias.</t>
  </si>
  <si>
    <t xml:space="preserve">Thành công với đúng sáu giá trị và model alias riêng cho embedding.</t>
  </si>
  <si>
    <t xml:space="preserve">Thực tế: Đạt trong REG-AI-20260723. | Bằng chứng: scripts/qa/test-idts64-ai-provider.js | Defect: None | Giới hạn: Vector mock, không đánh giá chất lượng semantic. | Điều kiện sau: Không đổi business data.</t>
  </si>
  <si>
    <t xml:space="preserve">UT-AI-004</t>
  </si>
  <si>
    <t xml:space="preserve">Provider error và timeout được sanitize</t>
  </si>
  <si>
    <t xml:space="preserve">Req: SRS-FR-AI-002, SRS-FR-AI-003 | Vai trò: N/A — module test | Dữ liệu: MOCK_PROVIDER_ERROR và embedding bị delay. | 1) Kích hoạt provider error. | 2) Kích hoạt timeout. | 3) Kiểm tra retryable flag và diagnostic public.</t>
  </si>
  <si>
    <t xml:space="preserve">AI_PROVIDER_ERROR/AI_TIMEOUT an toàn và giữ đúng retryability.</t>
  </si>
  <si>
    <t xml:space="preserve">Thực tế: Đạt trong REG-AI-20260723. | Bằng chứng: scripts/qa/test-idts64-ai-provider.js | Defect: None | Giới hạn: Chỉ là failure có kiểm soát. | Điều kiện sau: Workflow không dùng AI không bị ảnh hưởng.</t>
  </si>
  <si>
    <t xml:space="preserve">UT-AI-005</t>
  </si>
  <si>
    <t xml:space="preserve">Secret redactor che các key đại diện</t>
  </si>
  <si>
    <t xml:space="preserve">Req: SRS-FR-AI-003 | Vai trò: N/A — module test | Dữ liệu: Pattern AWS access key và Brevo API key giả lập. | 1) Truyền chuỗi giả lập có dạng key vào redactor. | 2) Kiểm tra text trả về.</t>
  </si>
  <si>
    <t xml:space="preserve">Cả hai secret đại diện đều được che.</t>
  </si>
  <si>
    <t xml:space="preserve">Thực tế: Đạt trong REG-AI-20260723. | Bằng chứng: scripts/qa/test-idts64-ai-provider.js | Defect: None | Giới hạn: Chỉ pattern đại diện; không chứng minh mọi định dạng secret. | Điều kiện sau: Dữ liệu giả lập được bỏ.</t>
  </si>
  <si>
    <t xml:space="preserve">FT-CREATE-001</t>
  </si>
  <si>
    <t xml:space="preserve">Tạo bug hợp lệ qua service</t>
  </si>
  <si>
    <t xml:space="preserve">Req: SRS-FR-BUG-001, SRS-FR-CLASS-003 | Vai trò: Tester | Dữ liệu: Payload bug đầy đủ đã sanitize với code active. | 1) Gửi create request hợp lệ. | 2) Đọc bug đã tạo theo ID. | 3) Kiểm tra business value bắt buộc.</t>
  </si>
  <si>
    <t xml:space="preserve">Create thành công và bug được persist với giá trị hợp lệ.</t>
  </si>
  <si>
    <t xml:space="preserve">2026-07-23T10:59:07+07:00</t>
  </si>
  <si>
    <t xml:space="preserve">Thực tế: Đạt: mã catalog active hợp lệ đã tạo bug. | Bằng chứng: scripts/qa/test-idts41-code-list-validation.js | Defect: IDTS-32 | Giới hạn: Chưa có evidence Fiori UI/reload mới. | Điều kiện sau: Dữ liệu test chỉ tồn tại trong database in-memory.</t>
  </si>
  <si>
    <t xml:space="preserve">FT-VALID-001</t>
  </si>
  <si>
    <t xml:space="preserve">Từ chối catalog sai, rỗng và inactive</t>
  </si>
  <si>
    <t xml:space="preserve">Req: SRS-FR-BUG-002, SRS-FR-CLASS-003, SRS-FR-STATUS-008 | Vai trò: Tester | Dữ liệu: Code dạng số, sai hoa/thường, whitespace, unknown và inactive. | 1) Gửi từng biến thể create/update/draft sai. | 2) Kiểm tra response 400 và target field. | 3) Reload record sau update bị từ chối.</t>
  </si>
  <si>
    <t xml:space="preserve">Mọi giá trị sai bị từ chối và state hợp lệ đã lưu không đổi.</t>
  </si>
  <si>
    <t xml:space="preserve">Thực tế: Đạt cho các check create, update và draft sai. | Bằng chứng: scripts/qa/test-idts41-code-list-validation.js | Defect: IDTS-32 | Giới hạn: Chưa chạy lại UI value-state. | Điều kiện sau: Input bị từ chối không được persist.</t>
  </si>
  <si>
    <t xml:space="preserve">FT-AUTHZ-001</t>
  </si>
  <si>
    <t xml:space="preserve">Chỉ Tester hoặc PM được bắt đầu bug draft</t>
  </si>
  <si>
    <t xml:space="preserve">Req: SRS-FR-AUTH-002, SRS-FR-BUG-001 | Vai trò: Developer / Tester / PM | Dữ liệu: Root draft NEW request cho từng role. | 1) Gọi root draft NEW bằng Developer. | 2) Lặp lại bằng Tester. | 3) Lặp lại bằng PM.</t>
  </si>
  <si>
    <t xml:space="preserve">Developer nhận 403; Tester và PM được phép.</t>
  </si>
  <si>
    <t xml:space="preserve">Thực tế: Đạt cho cả ba role. | Bằng chứng: scripts/qa/test-idts41-code-list-validation.js | Defect: IDTS-41 | Giới hạn: Chưa check button visibility bằng browser mới. | Điều kiện sau: Draft không được phép không tồn tại.</t>
  </si>
  <si>
    <t xml:space="preserve">FT-AUTH-SESSION-001</t>
  </si>
  <si>
    <t xml:space="preserve">Ranh giới xác thực, bearer session và đăng xuất</t>
  </si>
  <si>
    <t xml:space="preserve">Req: SRS-FR-AUTH-001, SRS-FR-AUTH-002 | Vai trò: Anonymous / authenticated user | Dữ liệu: Input hợp lệ, sai và session bị revoke từ dữ liệu seed; raw token tạm thời không đưa vào artifact. | 1) Chạy npm run qa:auth:programmatic. | 2) Review 28 check về login, từ chối, session, bearer, me, logout, revoke và sanitize. | 3) Xác nhận exit code 0 và không có check fail/skip.</t>
  </si>
  <si>
    <t xml:space="preserve">Cả 28 check xác thực/session local đều đạt; lỗi được sanitize và session đã revoke không dùng lại được.</t>
  </si>
  <si>
    <t xml:space="preserve">2026-07-23T10:58:30+07:00</t>
  </si>
  <si>
    <t xml:space="preserve">Thực tế: 28 đạt, 0 lỗi, 0 bỏ qua; exit code 0. | Bằng chứng: scripts/qa/test-auth-foundation-programmatic.js | Defect: IDTS-35, IDTS-52, IDTS-53 | Giới hạn: Chưa có UAT browser login/profile hiện tại và không claim identity provider production. | Điều kiện sau: Session test được revoke hoặc chỉ còn trong database in-memory.</t>
  </si>
  <si>
    <t xml:space="preserve">FT-COMMENT-001</t>
  </si>
  <si>
    <t xml:space="preserve">Thêm comment và giữ lại sau reconnect</t>
  </si>
  <si>
    <t xml:space="preserve">Req: SRS-FR-COMMENT-001, SRS-FR-COMMENT-002 | Vai trò: Tester | Dữ liệu: Comment marker duy nhất đã sanitize. | 1) Thêm comment qua bound action. | 2) Đọc comment row. | 3) Kết nối lại cùng file SQLite. | 4) Đọc lại row và so sánh status bug.</t>
  </si>
  <si>
    <t xml:space="preserve">Comment còn sau reconnect và không trực tiếp đổi status bug.</t>
  </si>
  <si>
    <t xml:space="preserve">2026-07-23T10:59:13+07:00</t>
  </si>
  <si>
    <t xml:space="preserve">Thực tế: Đạt: row được tạo và còn sau reconnect. | Bằng chứng: scripts/qa/test-comments-attachments-programmatic.js | Defect: IDTS-55 | Giới hạn: Chưa có evidence visual comment Fiori mới. | Điều kiện sau: Test database nằm trong .tmp bị ignore.</t>
  </si>
  <si>
    <t xml:space="preserve">FT-NOTIF-001</t>
  </si>
  <si>
    <t xml:space="preserve">Notification outbox success, failure, retry và rollback isolation</t>
  </si>
  <si>
    <t xml:space="preserve">Req: SRS-FR-NOTIF-001, SRS-FR-NOTIF-002, SRS-FR-DELIVERY-001 | Vai trò: System / Tester | Dữ liệu: Biến thể enabled, disabled, recipient inactive, success và failure chứa secret giả. | 1) Tạo notification/outbox row. | 2) Xử lý biến thể success và failure. | 3) Đến thời điểm retry và xử lý lại. | 4) Kiểm tra field đã sanitize và OData shape. | 5) Ép business rollback và xác nhận row rollback.</t>
  </si>
  <si>
    <t xml:space="preserve">State là PENDING/SENT/FAILED/SKIPPED phù hợp; retry thành công; lỗi provider không lộ secret hoặc làm hỏng workflow.</t>
  </si>
  <si>
    <t xml:space="preserve">2026-07-23T10:58:52+07:00</t>
  </si>
  <si>
    <t xml:space="preserve">Thực tế: Đạt với 58 assertion bằng transport có kiểm soát. | Bằng chứng: scripts/qa/test-email-outbox-programmatic.js | Defect: None | Giới hạn: Không chạy provider live; delivery local bị tắt là SKIPPED. | Điều kiện sau: Chỉ có row local được kiểm soát.</t>
  </si>
  <si>
    <t xml:space="preserve">FT-PM-001</t>
  </si>
  <si>
    <t xml:space="preserve">Flag, queue và current action owner cho PM</t>
  </si>
  <si>
    <t xml:space="preserve">Req: SRS-FR-PM-001, SRS-FR-PM-002, SRS-FR-PM-003, SRS-FR-STATUS-009 | Vai trò: PM | Dữ liệu: BUG-0001..0004 và một QA bug đã closed. | 1) Đọc calculated flag. | 2) Filter từng monitoring queue. | 3) Đọc currentActionOwnerDisplayName với sparse selection. | 4) So sánh boundary bug closed.</t>
  </si>
  <si>
    <t xml:space="preserve">Hai mươi check flag/filter/owner khớp; bug closed không overdue hoặc pending.</t>
  </si>
  <si>
    <t xml:space="preserve">2026-07-23T10:59:01+07:00</t>
  </si>
  <si>
    <t xml:space="preserve">Thực tế: Đạt 20/20. | Bằng chứng: scripts/qa/test-pm-monitoring-programmatic.js | Defect: None | Giới hạn: Chưa check visual/UX dashboard mới. | Điều kiện sau: Monitoring read-only không đổi business data.</t>
  </si>
  <si>
    <t xml:space="preserve">Flow UI manual vẫn NOT_RUN và UAT vẫn PREPARED; không claim sign-off.</t>
  </si>
  <si>
    <t xml:space="preserve">FT-DUP-001</t>
  </si>
  <si>
    <t xml:space="preserve">Hỗ trợ kiểm tra trùng trước khi tạo</t>
  </si>
  <si>
    <t xml:space="preserve">Req: SRS-FR-BUG-003 | Vai trò: Tester | Dữ liệu: Mô tả lỗi login mới và classification context. | 1) Mở Create Bug. | 2) Chạy kiểm tra bug tương tự. | 3) Review candidate và bỏ qua suggestion. | 4) Xác nhận không có DuplicateLinks mới và tiếp tục create.</t>
  </si>
  <si>
    <t xml:space="preserve">Candidate liên quan hiển thị dạng gợi ý; bỏ qua không đổi dữ liệu hoặc chặn create.</t>
  </si>
  <si>
    <t xml:space="preserve">Thực tế: Chưa chạy | Bằng chứng: N/A | Defect: None | Giới hạn: Chưa chạy mới duplicate review UI/API trong remediation này. | Điều kiện sau: Không có quan hệ duplicate tự động.</t>
  </si>
  <si>
    <t xml:space="preserve">FT-CLASS-ASSIGN-001</t>
  </si>
  <si>
    <t xml:space="preserve">Phân loại và assign theo responsibility active</t>
  </si>
  <si>
    <t xml:space="preserve">Req: SRS-FR-CLASS-001, SRS-FR-CLASS-004, SRS-FR-ASSIGN-001 | Vai trò: Tester | Dữ liệu: Application Component=Bug Management; Defect Category=Fiori/UI5; một Developer phù hợp và một không phù hợp. | 1) Mở Create Bug. | 2) Chọn Application Component và Defect Category. | 3) Mở candidate Smart Assign/Assignee. | 4) Chọn Developer phù hợp và lưu. | 5) Reload bug.</t>
  </si>
  <si>
    <t xml:space="preserve">Chỉ candidate active có responsibility được chọn; bug lưu ở Assigned và ownership còn sau reload.</t>
  </si>
  <si>
    <t xml:space="preserve">Thực tế: Chưa chạy | Bằng chứng: N/A | Defect: IDTS-56 | Giới hạn: Cần evidence browser và persistence mới. | Điều kiện sau: Developer được assign là technical owner.</t>
  </si>
  <si>
    <t xml:space="preserve">FT-PENDING-001</t>
  </si>
  <si>
    <t xml:space="preserve">Tạo bug không có assignee</t>
  </si>
  <si>
    <t xml:space="preserve">Req: SRS-FR-ASSIGN-003, SRS-FR-STATUS-009 | Vai trò: Tester | Dữ liệu: Bug hợp lệ nhưng không chọn assignee. | 1) Tạo bug hợp lệ. | 2) Không chọn assignee. | 3) Submit và reload. | 4) Kiểm tra status và Current Action Owner.</t>
  </si>
  <si>
    <t xml:space="preserve">Bug ở Pending Assignment; không Developer nào được tự chọn; PM/Tester queue nhận action tiếp theo.</t>
  </si>
  <si>
    <t xml:space="preserve">Thực tế: Chưa chạy | Bằng chứng: N/A | Defect: None | Giới hạn: Cần evidence create/reload mới. | Điều kiện sau: Bug chờ assignment rõ ràng.</t>
  </si>
  <si>
    <t xml:space="preserve">FT-REASSIGN-001</t>
  </si>
  <si>
    <t xml:space="preserve">Reassign có history</t>
  </si>
  <si>
    <t xml:space="preserve">Req: SRS-FR-ASSIGN-004, SRS-FR-AUDIT-001 | Vai trò: Tester / PM | Dữ liệu: Lý do: cân bằng workload. | 1) Mở bug đã assign. | 2) Chọn Developer phù hợp khác. | 3) Lưu kèm lý do reassign. | 4) Reload ownership và History.</t>
  </si>
  <si>
    <t xml:space="preserve">Chỉ còn một assignee; history có actor, owner cũ/mới, lý do và timestamp.</t>
  </si>
  <si>
    <t xml:space="preserve">Thực tế: Chưa chạy | Bằng chứng: N/A | Defect: None | Giới hạn: Quyền PM reassign trực tiếp vẫn phụ thuộc decision đã ghi; chạy bằng role runtime hiện cho phép. | Điều kiện sau: Developer mới là technical owner.</t>
  </si>
  <si>
    <t xml:space="preserve">FT-DEV-INFO-001</t>
  </si>
  <si>
    <t xml:space="preserve">Developer review và Request More Information</t>
  </si>
  <si>
    <t xml:space="preserve">Req: SRS-FR-STATUS-001, SRS-FR-STATUS-002, SRS-FR-STATUS-009 | Vai trò: Developer | Dữ liệu: Lý do: thiếu phiên bản browser và bước tái hiện chính xác. | 1) Mở bằng Developer không được assign và thử action. | 2) Mở bằng Developer được assign và gửi reason rỗng. | 3) Gửi reason hợp lệ. | 4) Reload status, owner, notification và history.</t>
  </si>
  <si>
    <t xml:space="preserve">Sai role/owner và reason rỗng bị chặn; action hợp lệ set Need More Information và Tester action owner cùng audit/notification.</t>
  </si>
  <si>
    <t xml:space="preserve">Thực tế: Chưa chạy | Bằng chứng: N/A | Defect: None | Giới hạn: Cần evidence role matrix và reload mới. | Điều kiện sau: Tester phải bổ sung thông tin và resubmit.</t>
  </si>
  <si>
    <t xml:space="preserve">FT-REJECT-001</t>
  </si>
  <si>
    <t xml:space="preserve">Reject, sửa và reassign</t>
  </si>
  <si>
    <t xml:space="preserve">Req: SRS-FR-STATUS-003, SRS-FR-STATUS-004, SRS-FR-STATUS-009 | Vai trò: Developer / Tester | Dữ liệu: Lý do: component là Notification, không phải Dashboard. | 1) Reject không reason và xác nhận validation. | 2) Reject với reason cụ thể. | 3) Reload status/history/current owner. | 4) Bằng Tester, sửa classification và reassign hoặc chọn Pending Assignment. | 5) Reload lại.</t>
  </si>
  <si>
    <t xml:space="preserve">Reason rỗng bị chặn; rejection hợp lệ ghi follow-up; sau sửa rời Rejected qua Assigned hoặc Pending Assignment, không đi thẳng Need More Information.</t>
  </si>
  <si>
    <t xml:space="preserve">Thực tế: Chưa chạy | Bằng chứng: N/A | Defect: None | Giới hạn: Cần evidence lifecycle UI/API đầy đủ. | Điều kiện sau: Bug có technical/queue owner tiếp theo rõ ràng.</t>
  </si>
  <si>
    <t xml:space="preserve">FT-LIFECYCLE-001</t>
  </si>
  <si>
    <t xml:space="preserve">Resolve, retest, close và reopen</t>
  </si>
  <si>
    <t xml:space="preserve">Req: SRS-FR-STATUS-005, SRS-FR-STATUS-006, SRS-FR-STATUS-007, SRS-FR-STATUS-008 | Vai trò: Developer / Tester / PM | Dữ liệu: Resolution note cùng một observation retest pass và một fail. | 1) Developer resolve kèm note. | 2) Tester/PM chuyển Retest Required. | 3) Ghi retest pass và close; reload. | 4) Trên bug thứ hai, ghi retest fail và reopen; reload.</t>
  </si>
  <si>
    <t xml:space="preserve">Pass đến Closed; fail đến Reopened; note bắt buộc, owner và audit nhất quán sau reload.</t>
  </si>
  <si>
    <t xml:space="preserve">Thực tế: Chưa chạy | Bằng chứng: N/A | Defect: None | Giới hạn: Chưa chạy mới full lifecycle trong remediation này. | Điều kiện sau: Closed không có next processor; Reopened quay lại xử lý active.</t>
  </si>
  <si>
    <t xml:space="preserve">FT-ATTACH-001</t>
  </si>
  <si>
    <t xml:space="preserve">Upload, download, reload và xóa attachment</t>
  </si>
  <si>
    <t xml:space="preserve">Req: SRS-DATA-007, SRS-FR-AUDIT-001 | Vai trò: Tester | Dữ liệu: File text/image nhỏ, biến thể MIME không cho phép và file vượt giới hạn. | 1) Edit root draft và upload evidence hợp lệ. | 2) Activate và reload. | 3) Download và so sánh nội dung. | 4) Thử biến thể MIME/size sai. | 5) Xóa và kiểm tra cleanup metadata/object/history.</t>
  </si>
  <si>
    <t xml:space="preserve">Evidence hợp lệ persist và download được; biến thể sai bị chặn; delete dọn storage và ghi history.</t>
  </si>
  <si>
    <t xml:space="preserve">Thực tế: Chưa chạy | Bằng chứng: scripts/qa/test-comments-attachments.ps1 | Defect: IDTS-55 | Giới hạn: Command HTTP bắt buộc chưa chạy trong remediation; suite comments programmatic chỉ in note attachment. | Điều kiện sau: Không còn attachment mồ côi.</t>
  </si>
  <si>
    <t xml:space="preserve">FT-AI-REVIEW-001</t>
  </si>
  <si>
    <t xml:space="preserve">Con người review AI suggestion mà không tự động mutation</t>
  </si>
  <si>
    <t xml:space="preserve">Req: SRS-FR-AI-002, SRS-FR-AI-003 | Vai trò: Tester / PM | Dữ liệu: Suggestion similar/classification/handoff với biến thể safe và malformed. | 1) Ghi giá trị bug trước suggestion. | 2) Mở review suggestion. | 3) Bỏ qua và reload. | 4) Lặp lại mode failure/malformed. | 5) Xác nhận giá trị bug không đổi và audit/feedback an toàn.</t>
  </si>
  <si>
    <t xml:space="preserve">Suggestion không tự đổi assignment, classification hoặc lifecycle; workflow bình thường vẫn dùng được.</t>
  </si>
  <si>
    <t xml:space="preserve">Thực tế: Chưa chạy | Bằng chứng: N/A | Defect: IDTS-78 | Giới hạn: REG-AI-20260723 chỉ chứng minh provider safety, không phải full business flow human-review này. | Điều kiện sau: Bug không đổi trừ khi user có quyền thực hiện action bình thường riêng.</t>
  </si>
  <si>
    <t xml:space="preserve">UAT-001</t>
  </si>
  <si>
    <t xml:space="preserve">Tạo và phân loại bug</t>
  </si>
  <si>
    <t xml:space="preserve">Req: SRS-FR-BUG-001, SRS-FR-BUG-002, SRS-FR-CLASS-003, SRS-FR-ASSIGN-003 | Vai trò: Tester | Dữ liệu: Lỗi UI trong Bug Management; priority/severity hợp lệ; không assignee cho biến thể Pending. | 1) Mở Create Bug. | 2) Nhập đủ dữ liệu bắt buộc. | 3) Chọn classification. | 4) Submit một lần có assignee và một lần không. | 5) Reload cả hai bug.</t>
  </si>
  <si>
    <t xml:space="preserve">Assigned/Pending Assignment khớp lựa chọn; không tự chọn Developer; dữ liệu persist.</t>
  </si>
  <si>
    <t xml:space="preserve">Thực tế: Chưa chạy | Bằng chứng: N/A | Defect: None | Giới hạn: Actual result, decision, tester/date và sign-off cố ý để trống tới khi UAT. | Điều kiện sau: Bug UAT được đánh dấu để cleanup.</t>
  </si>
  <si>
    <t xml:space="preserve">UAT-002</t>
  </si>
  <si>
    <t xml:space="preserve">Developer review, request information và rejection</t>
  </si>
  <si>
    <t xml:space="preserve">Req: SRS-FR-STATUS-001, SRS-FR-STATUS-002, SRS-FR-STATUS-003, SRS-FR-STATUS-004 | Vai trò: Developer / Tester | Dữ liệu: Reason thiếu thông tin và reason rejection cụ thể. | 1) Bằng Developer được assign, review hai bug. | 2) Request information cho một bug kèm reason. | 3) Reject bug còn lại kèm reason. | 4) Bằng Tester, resubmit/sửa và reassign. | 5) Reload history và ownership.</t>
  </si>
  <si>
    <t xml:space="preserve">Reason bắt buộc, transition hợp lệ, notification, history và Current Action Owner đúng.</t>
  </si>
  <si>
    <t xml:space="preserve">Thực tế: Chưa chạy | Bằng chứng: N/A | Defect: None | Giới hạn: Không claim execution/sign-off. | Điều kiện sau: Cả hai bug có next owner rõ ràng.</t>
  </si>
  <si>
    <t xml:space="preserve">UAT-003</t>
  </si>
  <si>
    <t xml:space="preserve">Req: SRS-FR-STATUS-005, SRS-FR-STATUS-006, SRS-FR-STATUS-007 | Vai trò: Developer / Tester / PM | Dữ liệu: Resolution note cùng một observation pass và một fail. | 1) Resolve cả hai bug. | 2) Chuyển cả hai sang Retest Required. | 3) Close bug pass. | 4) Reopen bug fail. | 5) Reload status/history/owner.</t>
  </si>
  <si>
    <t xml:space="preserve">Pass đóng; fail mở lại; không xuất hiện nhánh request information không được hỗ trợ sau retest.</t>
  </si>
  <si>
    <t xml:space="preserve">Thực tế: Chưa chạy | Bằng chứng: N/A | Defect: None | Giới hạn: Không claim execution/sign-off. | Điều kiện sau: Một bug UAT Closed và một Reopened.</t>
  </si>
  <si>
    <t xml:space="preserve">UAT-004</t>
  </si>
  <si>
    <t xml:space="preserve">Comment và attachment evidence</t>
  </si>
  <si>
    <t xml:space="preserve">Req: SRS-FR-COMMENT-001, SRS-DATA-007, SRS-FR-AUDIT-001 | Vai trò: Tester / Developer | Dữ liệu: Comment cụ thể và file evidence đã sanitize. | 1) Thêm comment. | 2) Upload evidence qua edit/draft. | 3) Lưu và reload. | 4) Download và so sánh. | 5) Xóa và xác nhận cleanup/history.</t>
  </si>
  <si>
    <t xml:space="preserve">Comment và evidence persist; download được; cleanup và history đúng.</t>
  </si>
  <si>
    <t xml:space="preserve">Thực tế: Chưa chạy | Bằng chứng: N/A | Defect: None | Giới hạn: Không claim execution/sign-off. | Điều kiện sau: Attachment được cleanup theo kế hoạch UAT.</t>
  </si>
  <si>
    <t xml:space="preserve">UAT-005</t>
  </si>
  <si>
    <t xml:space="preserve">PM monitoring và action ownership</t>
  </si>
  <si>
    <t xml:space="preserve">Req: SRS-FR-PM-001, SRS-FR-PM-002, SRS-FR-PM-003 | Vai trò: PM | Dữ liệu: Bug pending, overdue, rejected, retest, closed và assigned. | 1) Mở PM monitoring view. | 2) Áp dụng từng queue/filter. | 3) So sánh count với bug nguồn. | 4) Mở record đại diện và kiểm tra owner. | 5) Reload dashboard.</t>
  </si>
  <si>
    <t xml:space="preserve">Count, filter và wording owner dễ hiểu và nhất quán sau reload.</t>
  </si>
  <si>
    <t xml:space="preserve">Thực tế: Chưa chạy | Bằng chứng: N/A | Defect: None | Giới hạn: Không claim execution/sign-off. | Điều kiện sau: Monitoring vẫn read-only.</t>
  </si>
  <si>
    <t xml:space="preserve">UAT-006</t>
  </si>
  <si>
    <t xml:space="preserve">AI advisory và fallback an toàn</t>
  </si>
  <si>
    <t xml:space="preserve">Req: SRS-FR-AI-002, SRS-FR-AI-003 | Vai trò: Tester / PM | Dữ liệu: Suggestion similar/classification/handoff trên test bug. | 1) Ghi giá trị bug. | 2) Mở và bỏ qua suggestion. | 3) Reload và so sánh giá trị. | 4) Kích hoạt mode disabled/failure. | 5) Tiếp tục action bug bình thường có quyền.</t>
  </si>
  <si>
    <t xml:space="preserve">Không mutation tự động; hiển thị message an toàn; action bình thường vẫn dùng được.</t>
  </si>
  <si>
    <t xml:space="preserve">Thực tế: Chưa chạy | Bằng chứng: N/A | Defect: None | Giới hạn: Không claim execution/sign-off và không yêu cầu provider live. | Điều kiện sau: Bug test vẫn do con người kiểm soát.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</si>
</sst>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yyyy\-mm\-dd"/>
    <numFmt numFmtId="166" formatCode="d\-mmm\-yy;@"/>
    <numFmt numFmtId="167" formatCode="@"/>
    <numFmt numFmtId="168" formatCode="d\-mmm\-yy"/>
    <numFmt numFmtId="169" formatCode="0"/>
    <numFmt numFmtId="170" formatCode="0.00%"/>
    <numFmt numFmtId="171" formatCode="0%"/>
  </numFmts>
  <fonts count="32">
    <font>
      <sz val="12"/>
      <name val="ＭＳ Ｐゴシック"/>
      <family val="0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Tahoma"/>
      <family val="2"/>
      <charset val="1"/>
    </font>
    <font>
      <b val="true"/>
      <sz val="26"/>
      <color rgb="FFFF0000"/>
      <name val="Tahoma"/>
      <family val="2"/>
      <charset val="1"/>
    </font>
    <font>
      <b val="true"/>
      <sz val="20"/>
      <color rgb="FF000000"/>
      <name val="Tahoma"/>
      <family val="2"/>
      <charset val="1"/>
    </font>
    <font>
      <b val="true"/>
      <sz val="12"/>
      <color rgb="FF993300"/>
      <name val="Tahoma"/>
      <family val="2"/>
      <charset val="1"/>
    </font>
    <font>
      <i val="true"/>
      <sz val="12"/>
      <color rgb="FF008000"/>
      <name val="Tahoma"/>
      <family val="2"/>
      <charset val="1"/>
    </font>
    <font>
      <sz val="12"/>
      <name val="Tahoma"/>
      <family val="2"/>
      <charset val="1"/>
    </font>
    <font>
      <b val="true"/>
      <sz val="12"/>
      <name val="Tahoma"/>
      <family val="2"/>
      <charset val="1"/>
    </font>
    <font>
      <i val="true"/>
      <sz val="12"/>
      <name val="Tahoma"/>
      <family val="2"/>
      <charset val="1"/>
    </font>
    <font>
      <b val="true"/>
      <sz val="12"/>
      <color rgb="FFFFFFFF"/>
      <name val="Tahoma"/>
      <family val="2"/>
      <charset val="1"/>
    </font>
    <font>
      <sz val="10"/>
      <name val="Arial"/>
      <family val="2"/>
    </font>
    <font>
      <b val="true"/>
      <sz val="12"/>
      <color rgb="FF000000"/>
      <name val="Tahoma"/>
      <family val="2"/>
      <charset val="1"/>
    </font>
    <font>
      <b val="true"/>
      <sz val="12"/>
      <color rgb="FFFF0000"/>
      <name val="Tahoma"/>
      <family val="2"/>
      <charset val="1"/>
    </font>
    <font>
      <b val="true"/>
      <sz val="10"/>
      <name val="Tahoma"/>
      <family val="2"/>
      <charset val="1"/>
    </font>
    <font>
      <u val="single"/>
      <sz val="12"/>
      <color rgb="FF0000FF"/>
      <name val="ＭＳ Ｐゴシック"/>
      <family val="3"/>
      <charset val="128"/>
    </font>
    <font>
      <u val="single"/>
      <sz val="11"/>
      <color rgb="FF0000FF"/>
      <name val="ＭＳ Ｐゴシック"/>
      <family val="3"/>
      <charset val="128"/>
    </font>
    <font>
      <u val="single"/>
      <sz val="12"/>
      <color rgb="FF0000FF"/>
      <name val="Tahoma"/>
      <family val="2"/>
      <charset val="1"/>
    </font>
    <font>
      <sz val="12"/>
      <color rgb="FFFFFFFF"/>
      <name val="Tahoma"/>
      <family val="2"/>
      <charset val="1"/>
    </font>
    <font>
      <b val="true"/>
      <sz val="12"/>
      <color rgb="FF0000FF"/>
      <name val="Tahoma"/>
      <family val="2"/>
      <charset val="1"/>
    </font>
    <font>
      <sz val="12"/>
      <color rgb="FF000000"/>
      <name val="Tahoma"/>
      <family val="2"/>
      <charset val="1"/>
    </font>
    <font>
      <b val="true"/>
      <sz val="12"/>
      <color rgb="FFFFFFFF"/>
      <name val="Cambria"/>
      <family val="0"/>
      <charset val="1"/>
    </font>
    <font>
      <sz val="10"/>
      <color rgb="FFFF0000"/>
      <name val="Tahoma"/>
      <family val="2"/>
      <charset val="1"/>
    </font>
    <font>
      <sz val="12"/>
      <color rgb="FFFF0000"/>
      <name val="Tahoma"/>
      <family val="2"/>
      <charset val="1"/>
    </font>
    <font>
      <sz val="10"/>
      <color rgb="FF000000"/>
      <name val="Tahoma"/>
      <family val="2"/>
      <charset val="1"/>
    </font>
    <font>
      <b val="true"/>
      <i val="true"/>
      <sz val="12"/>
      <name val="Tahoma"/>
      <family val="2"/>
      <charset val="1"/>
    </font>
    <font>
      <b val="true"/>
      <sz val="12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003366"/>
      </patternFill>
    </fill>
    <fill>
      <patternFill patternType="solid">
        <fgColor rgb="FF0B5CAD"/>
        <bgColor rgb="FF008080"/>
      </patternFill>
    </fill>
    <fill>
      <patternFill patternType="solid">
        <fgColor theme="6" tint="-0.25"/>
        <bgColor rgb="FF808080"/>
      </patternFill>
    </fill>
    <fill>
      <patternFill patternType="solid">
        <fgColor rgb="FFCCFFFF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/>
      <right style="medium"/>
      <top/>
      <bottom/>
      <diagonal/>
    </border>
    <border diagonalUp="false" diagonalDown="false">
      <left/>
      <right style="hair"/>
      <top style="thin"/>
      <bottom style="hair"/>
      <diagonal/>
    </border>
    <border diagonalUp="false" diagonalDown="false">
      <left style="hair"/>
      <right style="medium"/>
      <top style="thin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 style="hair"/>
      <top style="hair"/>
      <bottom style="thin"/>
      <diagonal/>
    </border>
    <border diagonalUp="false" diagonalDown="false">
      <left style="hair"/>
      <right style="medium"/>
      <top style="hair"/>
      <bottom style="thin"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1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2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3" xfId="2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3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2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4" fillId="0" borderId="2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2" borderId="3" xfId="23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" xfId="23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13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23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12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23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5" fillId="3" borderId="4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5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6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7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8" fontId="12" fillId="0" borderId="8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9" xfId="23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23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7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8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8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9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0" borderId="1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0" borderId="11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1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2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2" fillId="2" borderId="0" xfId="0" applyFont="true" applyBorder="false" applyAlignment="false" applyProtection="true">
      <alignment horizontal="general" vertical="bottom" textRotation="0" wrapText="false" indent="0" shrinkToFit="false"/>
      <protection locked="true" hidden="tru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10" fillId="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2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2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2" borderId="8" xfId="2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9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3" xfId="21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3" borderId="1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3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3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70" fontId="24" fillId="2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6" fillId="5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0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3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4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0" xfId="22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22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25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0" fillId="2" borderId="25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30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6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2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2" borderId="3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6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7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8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2" borderId="29" xfId="22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6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0" xfId="22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30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1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32" xfId="2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2" borderId="0" xfId="2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9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5" fillId="2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0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3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2" xfId="22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unctional Test Case v1.0" xfId="21"/>
    <cellStyle name="Normal_Sheet1" xfId="22"/>
    <cellStyle name="Normal_Template_UnitTest Case_v0.9" xfId="23"/>
    <cellStyle name="標準_結合試験(AllOvertheWorld)" xfId="24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933C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B5CAD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114480</xdr:colOff>
      <xdr:row>1</xdr:row>
      <xdr:rowOff>88920</xdr:rowOff>
    </xdr:from>
    <xdr:to>
      <xdr:col>2</xdr:col>
      <xdr:colOff>199800</xdr:colOff>
      <xdr:row>1</xdr:row>
      <xdr:rowOff>786960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114480" y="250920"/>
          <a:ext cx="2133360" cy="69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ns1="http://schemas.openxmlformats.org/officeDocument/2006/relationships">
  <sheetPr filterMode="false">
    <pageSetUpPr fitToPage="true"/>
  </sheetPr>
  <dimension ref="A2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1" width="16.88"/>
    <col collapsed="false" customWidth="true" hidden="false" outlineLevel="0" max="2" min="2" style="2" width="10"/>
    <col collapsed="false" customWidth="true" hidden="false" outlineLevel="0" max="3" min="3" style="2" width="14.38"/>
    <col collapsed="false" customWidth="true" hidden="false" outlineLevel="0" max="4" min="4" style="2" width="8"/>
    <col collapsed="false" customWidth="true" hidden="false" outlineLevel="0" max="5" min="5" style="2" width="38"/>
    <col collapsed="false" customWidth="true" hidden="false" outlineLevel="0" max="6" min="6" style="2" width="48.12"/>
    <col collapsed="false" customWidth="false" hidden="false" outlineLevel="0" max="256" min="7" style="2" width="9"/>
    <col collapsed="false" customWidth="true" hidden="false" outlineLevel="0" max="257" min="257" style="2" width="28.12"/>
    <col collapsed="false" customWidth="true" hidden="false" outlineLevel="0" max="258" min="258" style="2" width="10"/>
    <col collapsed="false" customWidth="true" hidden="false" outlineLevel="0" max="259" min="259" style="2" width="14.38"/>
    <col collapsed="false" customWidth="true" hidden="false" outlineLevel="0" max="260" min="260" style="2" width="8"/>
    <col collapsed="false" customWidth="true" hidden="false" outlineLevel="0" max="261" min="261" style="2" width="38"/>
    <col collapsed="false" customWidth="true" hidden="false" outlineLevel="0" max="262" min="262" style="2" width="48.12"/>
    <col collapsed="false" customWidth="false" hidden="false" outlineLevel="0" max="512" min="263" style="2" width="9"/>
    <col collapsed="false" customWidth="true" hidden="false" outlineLevel="0" max="513" min="513" style="2" width="28.12"/>
    <col collapsed="false" customWidth="true" hidden="false" outlineLevel="0" max="514" min="514" style="2" width="10"/>
    <col collapsed="false" customWidth="true" hidden="false" outlineLevel="0" max="515" min="515" style="2" width="14.38"/>
    <col collapsed="false" customWidth="true" hidden="false" outlineLevel="0" max="516" min="516" style="2" width="8"/>
    <col collapsed="false" customWidth="true" hidden="false" outlineLevel="0" max="517" min="517" style="2" width="38"/>
    <col collapsed="false" customWidth="true" hidden="false" outlineLevel="0" max="518" min="518" style="2" width="48.12"/>
    <col collapsed="false" customWidth="false" hidden="false" outlineLevel="0" max="768" min="519" style="2" width="9"/>
    <col collapsed="false" customWidth="true" hidden="false" outlineLevel="0" max="769" min="769" style="2" width="28.12"/>
    <col collapsed="false" customWidth="true" hidden="false" outlineLevel="0" max="770" min="770" style="2" width="10"/>
    <col collapsed="false" customWidth="true" hidden="false" outlineLevel="0" max="771" min="771" style="2" width="14.38"/>
    <col collapsed="false" customWidth="true" hidden="false" outlineLevel="0" max="772" min="772" style="2" width="8"/>
    <col collapsed="false" customWidth="true" hidden="false" outlineLevel="0" max="773" min="773" style="2" width="38"/>
    <col collapsed="false" customWidth="true" hidden="false" outlineLevel="0" max="774" min="774" style="2" width="48.12"/>
    <col collapsed="false" customWidth="false" hidden="false" outlineLevel="0" max="1024" min="775" style="2" width="9"/>
    <col collapsed="false" customWidth="true" hidden="false" outlineLevel="0" max="1025" min="1025" style="2" width="28.12"/>
    <col collapsed="false" customWidth="true" hidden="false" outlineLevel="0" max="1026" min="1026" style="2" width="10"/>
    <col collapsed="false" customWidth="true" hidden="false" outlineLevel="0" max="1027" min="1027" style="2" width="14.38"/>
    <col collapsed="false" customWidth="true" hidden="false" outlineLevel="0" max="1028" min="1028" style="2" width="8"/>
    <col collapsed="false" customWidth="true" hidden="false" outlineLevel="0" max="1029" min="1029" style="2" width="38"/>
    <col collapsed="false" customWidth="true" hidden="false" outlineLevel="0" max="1030" min="1030" style="2" width="48.12"/>
    <col collapsed="false" customWidth="false" hidden="false" outlineLevel="0" max="1280" min="1031" style="2" width="9"/>
    <col collapsed="false" customWidth="true" hidden="false" outlineLevel="0" max="1281" min="1281" style="2" width="28.12"/>
    <col collapsed="false" customWidth="true" hidden="false" outlineLevel="0" max="1282" min="1282" style="2" width="10"/>
    <col collapsed="false" customWidth="true" hidden="false" outlineLevel="0" max="1283" min="1283" style="2" width="14.38"/>
    <col collapsed="false" customWidth="true" hidden="false" outlineLevel="0" max="1284" min="1284" style="2" width="8"/>
    <col collapsed="false" customWidth="true" hidden="false" outlineLevel="0" max="1285" min="1285" style="2" width="38"/>
    <col collapsed="false" customWidth="true" hidden="false" outlineLevel="0" max="1286" min="1286" style="2" width="48.12"/>
    <col collapsed="false" customWidth="false" hidden="false" outlineLevel="0" max="1536" min="1287" style="2" width="9"/>
    <col collapsed="false" customWidth="true" hidden="false" outlineLevel="0" max="1537" min="1537" style="2" width="28.12"/>
    <col collapsed="false" customWidth="true" hidden="false" outlineLevel="0" max="1538" min="1538" style="2" width="10"/>
    <col collapsed="false" customWidth="true" hidden="false" outlineLevel="0" max="1539" min="1539" style="2" width="14.38"/>
    <col collapsed="false" customWidth="true" hidden="false" outlineLevel="0" max="1540" min="1540" style="2" width="8"/>
    <col collapsed="false" customWidth="true" hidden="false" outlineLevel="0" max="1541" min="1541" style="2" width="38"/>
    <col collapsed="false" customWidth="true" hidden="false" outlineLevel="0" max="1542" min="1542" style="2" width="48.12"/>
    <col collapsed="false" customWidth="false" hidden="false" outlineLevel="0" max="1792" min="1543" style="2" width="9"/>
    <col collapsed="false" customWidth="true" hidden="false" outlineLevel="0" max="1793" min="1793" style="2" width="28.12"/>
    <col collapsed="false" customWidth="true" hidden="false" outlineLevel="0" max="1794" min="1794" style="2" width="10"/>
    <col collapsed="false" customWidth="true" hidden="false" outlineLevel="0" max="1795" min="1795" style="2" width="14.38"/>
    <col collapsed="false" customWidth="true" hidden="false" outlineLevel="0" max="1796" min="1796" style="2" width="8"/>
    <col collapsed="false" customWidth="true" hidden="false" outlineLevel="0" max="1797" min="1797" style="2" width="38"/>
    <col collapsed="false" customWidth="true" hidden="false" outlineLevel="0" max="1798" min="1798" style="2" width="48.12"/>
    <col collapsed="false" customWidth="false" hidden="false" outlineLevel="0" max="2048" min="1799" style="2" width="9"/>
    <col collapsed="false" customWidth="true" hidden="false" outlineLevel="0" max="2049" min="2049" style="2" width="28.12"/>
    <col collapsed="false" customWidth="true" hidden="false" outlineLevel="0" max="2050" min="2050" style="2" width="10"/>
    <col collapsed="false" customWidth="true" hidden="false" outlineLevel="0" max="2051" min="2051" style="2" width="14.38"/>
    <col collapsed="false" customWidth="true" hidden="false" outlineLevel="0" max="2052" min="2052" style="2" width="8"/>
    <col collapsed="false" customWidth="true" hidden="false" outlineLevel="0" max="2053" min="2053" style="2" width="38"/>
    <col collapsed="false" customWidth="true" hidden="false" outlineLevel="0" max="2054" min="2054" style="2" width="48.12"/>
    <col collapsed="false" customWidth="false" hidden="false" outlineLevel="0" max="2304" min="2055" style="2" width="9"/>
    <col collapsed="false" customWidth="true" hidden="false" outlineLevel="0" max="2305" min="2305" style="2" width="28.12"/>
    <col collapsed="false" customWidth="true" hidden="false" outlineLevel="0" max="2306" min="2306" style="2" width="10"/>
    <col collapsed="false" customWidth="true" hidden="false" outlineLevel="0" max="2307" min="2307" style="2" width="14.38"/>
    <col collapsed="false" customWidth="true" hidden="false" outlineLevel="0" max="2308" min="2308" style="2" width="8"/>
    <col collapsed="false" customWidth="true" hidden="false" outlineLevel="0" max="2309" min="2309" style="2" width="38"/>
    <col collapsed="false" customWidth="true" hidden="false" outlineLevel="0" max="2310" min="2310" style="2" width="48.12"/>
    <col collapsed="false" customWidth="false" hidden="false" outlineLevel="0" max="2560" min="2311" style="2" width="9"/>
    <col collapsed="false" customWidth="true" hidden="false" outlineLevel="0" max="2561" min="2561" style="2" width="28.12"/>
    <col collapsed="false" customWidth="true" hidden="false" outlineLevel="0" max="2562" min="2562" style="2" width="10"/>
    <col collapsed="false" customWidth="true" hidden="false" outlineLevel="0" max="2563" min="2563" style="2" width="14.38"/>
    <col collapsed="false" customWidth="true" hidden="false" outlineLevel="0" max="2564" min="2564" style="2" width="8"/>
    <col collapsed="false" customWidth="true" hidden="false" outlineLevel="0" max="2565" min="2565" style="2" width="38"/>
    <col collapsed="false" customWidth="true" hidden="false" outlineLevel="0" max="2566" min="2566" style="2" width="48.12"/>
    <col collapsed="false" customWidth="false" hidden="false" outlineLevel="0" max="2816" min="2567" style="2" width="9"/>
    <col collapsed="false" customWidth="true" hidden="false" outlineLevel="0" max="2817" min="2817" style="2" width="28.12"/>
    <col collapsed="false" customWidth="true" hidden="false" outlineLevel="0" max="2818" min="2818" style="2" width="10"/>
    <col collapsed="false" customWidth="true" hidden="false" outlineLevel="0" max="2819" min="2819" style="2" width="14.38"/>
    <col collapsed="false" customWidth="true" hidden="false" outlineLevel="0" max="2820" min="2820" style="2" width="8"/>
    <col collapsed="false" customWidth="true" hidden="false" outlineLevel="0" max="2821" min="2821" style="2" width="38"/>
    <col collapsed="false" customWidth="true" hidden="false" outlineLevel="0" max="2822" min="2822" style="2" width="48.12"/>
    <col collapsed="false" customWidth="false" hidden="false" outlineLevel="0" max="3072" min="2823" style="2" width="9"/>
    <col collapsed="false" customWidth="true" hidden="false" outlineLevel="0" max="3073" min="3073" style="2" width="28.12"/>
    <col collapsed="false" customWidth="true" hidden="false" outlineLevel="0" max="3074" min="3074" style="2" width="10"/>
    <col collapsed="false" customWidth="true" hidden="false" outlineLevel="0" max="3075" min="3075" style="2" width="14.38"/>
    <col collapsed="false" customWidth="true" hidden="false" outlineLevel="0" max="3076" min="3076" style="2" width="8"/>
    <col collapsed="false" customWidth="true" hidden="false" outlineLevel="0" max="3077" min="3077" style="2" width="38"/>
    <col collapsed="false" customWidth="true" hidden="false" outlineLevel="0" max="3078" min="3078" style="2" width="48.12"/>
    <col collapsed="false" customWidth="false" hidden="false" outlineLevel="0" max="3328" min="3079" style="2" width="9"/>
    <col collapsed="false" customWidth="true" hidden="false" outlineLevel="0" max="3329" min="3329" style="2" width="28.12"/>
    <col collapsed="false" customWidth="true" hidden="false" outlineLevel="0" max="3330" min="3330" style="2" width="10"/>
    <col collapsed="false" customWidth="true" hidden="false" outlineLevel="0" max="3331" min="3331" style="2" width="14.38"/>
    <col collapsed="false" customWidth="true" hidden="false" outlineLevel="0" max="3332" min="3332" style="2" width="8"/>
    <col collapsed="false" customWidth="true" hidden="false" outlineLevel="0" max="3333" min="3333" style="2" width="38"/>
    <col collapsed="false" customWidth="true" hidden="false" outlineLevel="0" max="3334" min="3334" style="2" width="48.12"/>
    <col collapsed="false" customWidth="false" hidden="false" outlineLevel="0" max="3584" min="3335" style="2" width="9"/>
    <col collapsed="false" customWidth="true" hidden="false" outlineLevel="0" max="3585" min="3585" style="2" width="28.12"/>
    <col collapsed="false" customWidth="true" hidden="false" outlineLevel="0" max="3586" min="3586" style="2" width="10"/>
    <col collapsed="false" customWidth="true" hidden="false" outlineLevel="0" max="3587" min="3587" style="2" width="14.38"/>
    <col collapsed="false" customWidth="true" hidden="false" outlineLevel="0" max="3588" min="3588" style="2" width="8"/>
    <col collapsed="false" customWidth="true" hidden="false" outlineLevel="0" max="3589" min="3589" style="2" width="38"/>
    <col collapsed="false" customWidth="true" hidden="false" outlineLevel="0" max="3590" min="3590" style="2" width="48.12"/>
    <col collapsed="false" customWidth="false" hidden="false" outlineLevel="0" max="3840" min="3591" style="2" width="9"/>
    <col collapsed="false" customWidth="true" hidden="false" outlineLevel="0" max="3841" min="3841" style="2" width="28.12"/>
    <col collapsed="false" customWidth="true" hidden="false" outlineLevel="0" max="3842" min="3842" style="2" width="10"/>
    <col collapsed="false" customWidth="true" hidden="false" outlineLevel="0" max="3843" min="3843" style="2" width="14.38"/>
    <col collapsed="false" customWidth="true" hidden="false" outlineLevel="0" max="3844" min="3844" style="2" width="8"/>
    <col collapsed="false" customWidth="true" hidden="false" outlineLevel="0" max="3845" min="3845" style="2" width="38"/>
    <col collapsed="false" customWidth="true" hidden="false" outlineLevel="0" max="3846" min="3846" style="2" width="48.12"/>
    <col collapsed="false" customWidth="false" hidden="false" outlineLevel="0" max="4096" min="3847" style="2" width="9"/>
    <col collapsed="false" customWidth="true" hidden="false" outlineLevel="0" max="4097" min="4097" style="2" width="28.12"/>
    <col collapsed="false" customWidth="true" hidden="false" outlineLevel="0" max="4098" min="4098" style="2" width="10"/>
    <col collapsed="false" customWidth="true" hidden="false" outlineLevel="0" max="4099" min="4099" style="2" width="14.38"/>
    <col collapsed="false" customWidth="true" hidden="false" outlineLevel="0" max="4100" min="4100" style="2" width="8"/>
    <col collapsed="false" customWidth="true" hidden="false" outlineLevel="0" max="4101" min="4101" style="2" width="38"/>
    <col collapsed="false" customWidth="true" hidden="false" outlineLevel="0" max="4102" min="4102" style="2" width="48.12"/>
    <col collapsed="false" customWidth="false" hidden="false" outlineLevel="0" max="4352" min="4103" style="2" width="9"/>
    <col collapsed="false" customWidth="true" hidden="false" outlineLevel="0" max="4353" min="4353" style="2" width="28.12"/>
    <col collapsed="false" customWidth="true" hidden="false" outlineLevel="0" max="4354" min="4354" style="2" width="10"/>
    <col collapsed="false" customWidth="true" hidden="false" outlineLevel="0" max="4355" min="4355" style="2" width="14.38"/>
    <col collapsed="false" customWidth="true" hidden="false" outlineLevel="0" max="4356" min="4356" style="2" width="8"/>
    <col collapsed="false" customWidth="true" hidden="false" outlineLevel="0" max="4357" min="4357" style="2" width="38"/>
    <col collapsed="false" customWidth="true" hidden="false" outlineLevel="0" max="4358" min="4358" style="2" width="48.12"/>
    <col collapsed="false" customWidth="false" hidden="false" outlineLevel="0" max="4608" min="4359" style="2" width="9"/>
    <col collapsed="false" customWidth="true" hidden="false" outlineLevel="0" max="4609" min="4609" style="2" width="28.12"/>
    <col collapsed="false" customWidth="true" hidden="false" outlineLevel="0" max="4610" min="4610" style="2" width="10"/>
    <col collapsed="false" customWidth="true" hidden="false" outlineLevel="0" max="4611" min="4611" style="2" width="14.38"/>
    <col collapsed="false" customWidth="true" hidden="false" outlineLevel="0" max="4612" min="4612" style="2" width="8"/>
    <col collapsed="false" customWidth="true" hidden="false" outlineLevel="0" max="4613" min="4613" style="2" width="38"/>
    <col collapsed="false" customWidth="true" hidden="false" outlineLevel="0" max="4614" min="4614" style="2" width="48.12"/>
    <col collapsed="false" customWidth="false" hidden="false" outlineLevel="0" max="4864" min="4615" style="2" width="9"/>
    <col collapsed="false" customWidth="true" hidden="false" outlineLevel="0" max="4865" min="4865" style="2" width="28.12"/>
    <col collapsed="false" customWidth="true" hidden="false" outlineLevel="0" max="4866" min="4866" style="2" width="10"/>
    <col collapsed="false" customWidth="true" hidden="false" outlineLevel="0" max="4867" min="4867" style="2" width="14.38"/>
    <col collapsed="false" customWidth="true" hidden="false" outlineLevel="0" max="4868" min="4868" style="2" width="8"/>
    <col collapsed="false" customWidth="true" hidden="false" outlineLevel="0" max="4869" min="4869" style="2" width="38"/>
    <col collapsed="false" customWidth="true" hidden="false" outlineLevel="0" max="4870" min="4870" style="2" width="48.12"/>
    <col collapsed="false" customWidth="false" hidden="false" outlineLevel="0" max="5120" min="4871" style="2" width="9"/>
    <col collapsed="false" customWidth="true" hidden="false" outlineLevel="0" max="5121" min="5121" style="2" width="28.12"/>
    <col collapsed="false" customWidth="true" hidden="false" outlineLevel="0" max="5122" min="5122" style="2" width="10"/>
    <col collapsed="false" customWidth="true" hidden="false" outlineLevel="0" max="5123" min="5123" style="2" width="14.38"/>
    <col collapsed="false" customWidth="true" hidden="false" outlineLevel="0" max="5124" min="5124" style="2" width="8"/>
    <col collapsed="false" customWidth="true" hidden="false" outlineLevel="0" max="5125" min="5125" style="2" width="38"/>
    <col collapsed="false" customWidth="true" hidden="false" outlineLevel="0" max="5126" min="5126" style="2" width="48.12"/>
    <col collapsed="false" customWidth="false" hidden="false" outlineLevel="0" max="5376" min="5127" style="2" width="9"/>
    <col collapsed="false" customWidth="true" hidden="false" outlineLevel="0" max="5377" min="5377" style="2" width="28.12"/>
    <col collapsed="false" customWidth="true" hidden="false" outlineLevel="0" max="5378" min="5378" style="2" width="10"/>
    <col collapsed="false" customWidth="true" hidden="false" outlineLevel="0" max="5379" min="5379" style="2" width="14.38"/>
    <col collapsed="false" customWidth="true" hidden="false" outlineLevel="0" max="5380" min="5380" style="2" width="8"/>
    <col collapsed="false" customWidth="true" hidden="false" outlineLevel="0" max="5381" min="5381" style="2" width="38"/>
    <col collapsed="false" customWidth="true" hidden="false" outlineLevel="0" max="5382" min="5382" style="2" width="48.12"/>
    <col collapsed="false" customWidth="false" hidden="false" outlineLevel="0" max="5632" min="5383" style="2" width="9"/>
    <col collapsed="false" customWidth="true" hidden="false" outlineLevel="0" max="5633" min="5633" style="2" width="28.12"/>
    <col collapsed="false" customWidth="true" hidden="false" outlineLevel="0" max="5634" min="5634" style="2" width="10"/>
    <col collapsed="false" customWidth="true" hidden="false" outlineLevel="0" max="5635" min="5635" style="2" width="14.38"/>
    <col collapsed="false" customWidth="true" hidden="false" outlineLevel="0" max="5636" min="5636" style="2" width="8"/>
    <col collapsed="false" customWidth="true" hidden="false" outlineLevel="0" max="5637" min="5637" style="2" width="38"/>
    <col collapsed="false" customWidth="true" hidden="false" outlineLevel="0" max="5638" min="5638" style="2" width="48.12"/>
    <col collapsed="false" customWidth="false" hidden="false" outlineLevel="0" max="5888" min="5639" style="2" width="9"/>
    <col collapsed="false" customWidth="true" hidden="false" outlineLevel="0" max="5889" min="5889" style="2" width="28.12"/>
    <col collapsed="false" customWidth="true" hidden="false" outlineLevel="0" max="5890" min="5890" style="2" width="10"/>
    <col collapsed="false" customWidth="true" hidden="false" outlineLevel="0" max="5891" min="5891" style="2" width="14.38"/>
    <col collapsed="false" customWidth="true" hidden="false" outlineLevel="0" max="5892" min="5892" style="2" width="8"/>
    <col collapsed="false" customWidth="true" hidden="false" outlineLevel="0" max="5893" min="5893" style="2" width="38"/>
    <col collapsed="false" customWidth="true" hidden="false" outlineLevel="0" max="5894" min="5894" style="2" width="48.12"/>
    <col collapsed="false" customWidth="false" hidden="false" outlineLevel="0" max="6144" min="5895" style="2" width="9"/>
    <col collapsed="false" customWidth="true" hidden="false" outlineLevel="0" max="6145" min="6145" style="2" width="28.12"/>
    <col collapsed="false" customWidth="true" hidden="false" outlineLevel="0" max="6146" min="6146" style="2" width="10"/>
    <col collapsed="false" customWidth="true" hidden="false" outlineLevel="0" max="6147" min="6147" style="2" width="14.38"/>
    <col collapsed="false" customWidth="true" hidden="false" outlineLevel="0" max="6148" min="6148" style="2" width="8"/>
    <col collapsed="false" customWidth="true" hidden="false" outlineLevel="0" max="6149" min="6149" style="2" width="38"/>
    <col collapsed="false" customWidth="true" hidden="false" outlineLevel="0" max="6150" min="6150" style="2" width="48.12"/>
    <col collapsed="false" customWidth="false" hidden="false" outlineLevel="0" max="6400" min="6151" style="2" width="9"/>
    <col collapsed="false" customWidth="true" hidden="false" outlineLevel="0" max="6401" min="6401" style="2" width="28.12"/>
    <col collapsed="false" customWidth="true" hidden="false" outlineLevel="0" max="6402" min="6402" style="2" width="10"/>
    <col collapsed="false" customWidth="true" hidden="false" outlineLevel="0" max="6403" min="6403" style="2" width="14.38"/>
    <col collapsed="false" customWidth="true" hidden="false" outlineLevel="0" max="6404" min="6404" style="2" width="8"/>
    <col collapsed="false" customWidth="true" hidden="false" outlineLevel="0" max="6405" min="6405" style="2" width="38"/>
    <col collapsed="false" customWidth="true" hidden="false" outlineLevel="0" max="6406" min="6406" style="2" width="48.12"/>
    <col collapsed="false" customWidth="false" hidden="false" outlineLevel="0" max="6656" min="6407" style="2" width="9"/>
    <col collapsed="false" customWidth="true" hidden="false" outlineLevel="0" max="6657" min="6657" style="2" width="28.12"/>
    <col collapsed="false" customWidth="true" hidden="false" outlineLevel="0" max="6658" min="6658" style="2" width="10"/>
    <col collapsed="false" customWidth="true" hidden="false" outlineLevel="0" max="6659" min="6659" style="2" width="14.38"/>
    <col collapsed="false" customWidth="true" hidden="false" outlineLevel="0" max="6660" min="6660" style="2" width="8"/>
    <col collapsed="false" customWidth="true" hidden="false" outlineLevel="0" max="6661" min="6661" style="2" width="38"/>
    <col collapsed="false" customWidth="true" hidden="false" outlineLevel="0" max="6662" min="6662" style="2" width="48.12"/>
    <col collapsed="false" customWidth="false" hidden="false" outlineLevel="0" max="6912" min="6663" style="2" width="9"/>
    <col collapsed="false" customWidth="true" hidden="false" outlineLevel="0" max="6913" min="6913" style="2" width="28.12"/>
    <col collapsed="false" customWidth="true" hidden="false" outlineLevel="0" max="6914" min="6914" style="2" width="10"/>
    <col collapsed="false" customWidth="true" hidden="false" outlineLevel="0" max="6915" min="6915" style="2" width="14.38"/>
    <col collapsed="false" customWidth="true" hidden="false" outlineLevel="0" max="6916" min="6916" style="2" width="8"/>
    <col collapsed="false" customWidth="true" hidden="false" outlineLevel="0" max="6917" min="6917" style="2" width="38"/>
    <col collapsed="false" customWidth="true" hidden="false" outlineLevel="0" max="6918" min="6918" style="2" width="48.12"/>
    <col collapsed="false" customWidth="false" hidden="false" outlineLevel="0" max="7168" min="6919" style="2" width="9"/>
    <col collapsed="false" customWidth="true" hidden="false" outlineLevel="0" max="7169" min="7169" style="2" width="28.12"/>
    <col collapsed="false" customWidth="true" hidden="false" outlineLevel="0" max="7170" min="7170" style="2" width="10"/>
    <col collapsed="false" customWidth="true" hidden="false" outlineLevel="0" max="7171" min="7171" style="2" width="14.38"/>
    <col collapsed="false" customWidth="true" hidden="false" outlineLevel="0" max="7172" min="7172" style="2" width="8"/>
    <col collapsed="false" customWidth="true" hidden="false" outlineLevel="0" max="7173" min="7173" style="2" width="38"/>
    <col collapsed="false" customWidth="true" hidden="false" outlineLevel="0" max="7174" min="7174" style="2" width="48.12"/>
    <col collapsed="false" customWidth="false" hidden="false" outlineLevel="0" max="7424" min="7175" style="2" width="9"/>
    <col collapsed="false" customWidth="true" hidden="false" outlineLevel="0" max="7425" min="7425" style="2" width="28.12"/>
    <col collapsed="false" customWidth="true" hidden="false" outlineLevel="0" max="7426" min="7426" style="2" width="10"/>
    <col collapsed="false" customWidth="true" hidden="false" outlineLevel="0" max="7427" min="7427" style="2" width="14.38"/>
    <col collapsed="false" customWidth="true" hidden="false" outlineLevel="0" max="7428" min="7428" style="2" width="8"/>
    <col collapsed="false" customWidth="true" hidden="false" outlineLevel="0" max="7429" min="7429" style="2" width="38"/>
    <col collapsed="false" customWidth="true" hidden="false" outlineLevel="0" max="7430" min="7430" style="2" width="48.12"/>
    <col collapsed="false" customWidth="false" hidden="false" outlineLevel="0" max="7680" min="7431" style="2" width="9"/>
    <col collapsed="false" customWidth="true" hidden="false" outlineLevel="0" max="7681" min="7681" style="2" width="28.12"/>
    <col collapsed="false" customWidth="true" hidden="false" outlineLevel="0" max="7682" min="7682" style="2" width="10"/>
    <col collapsed="false" customWidth="true" hidden="false" outlineLevel="0" max="7683" min="7683" style="2" width="14.38"/>
    <col collapsed="false" customWidth="true" hidden="false" outlineLevel="0" max="7684" min="7684" style="2" width="8"/>
    <col collapsed="false" customWidth="true" hidden="false" outlineLevel="0" max="7685" min="7685" style="2" width="38"/>
    <col collapsed="false" customWidth="true" hidden="false" outlineLevel="0" max="7686" min="7686" style="2" width="48.12"/>
    <col collapsed="false" customWidth="false" hidden="false" outlineLevel="0" max="7936" min="7687" style="2" width="9"/>
    <col collapsed="false" customWidth="true" hidden="false" outlineLevel="0" max="7937" min="7937" style="2" width="28.12"/>
    <col collapsed="false" customWidth="true" hidden="false" outlineLevel="0" max="7938" min="7938" style="2" width="10"/>
    <col collapsed="false" customWidth="true" hidden="false" outlineLevel="0" max="7939" min="7939" style="2" width="14.38"/>
    <col collapsed="false" customWidth="true" hidden="false" outlineLevel="0" max="7940" min="7940" style="2" width="8"/>
    <col collapsed="false" customWidth="true" hidden="false" outlineLevel="0" max="7941" min="7941" style="2" width="38"/>
    <col collapsed="false" customWidth="true" hidden="false" outlineLevel="0" max="7942" min="7942" style="2" width="48.12"/>
    <col collapsed="false" customWidth="false" hidden="false" outlineLevel="0" max="8192" min="7943" style="2" width="9"/>
    <col collapsed="false" customWidth="true" hidden="false" outlineLevel="0" max="8193" min="8193" style="2" width="28.12"/>
    <col collapsed="false" customWidth="true" hidden="false" outlineLevel="0" max="8194" min="8194" style="2" width="10"/>
    <col collapsed="false" customWidth="true" hidden="false" outlineLevel="0" max="8195" min="8195" style="2" width="14.38"/>
    <col collapsed="false" customWidth="true" hidden="false" outlineLevel="0" max="8196" min="8196" style="2" width="8"/>
    <col collapsed="false" customWidth="true" hidden="false" outlineLevel="0" max="8197" min="8197" style="2" width="38"/>
    <col collapsed="false" customWidth="true" hidden="false" outlineLevel="0" max="8198" min="8198" style="2" width="48.12"/>
    <col collapsed="false" customWidth="false" hidden="false" outlineLevel="0" max="8448" min="8199" style="2" width="9"/>
    <col collapsed="false" customWidth="true" hidden="false" outlineLevel="0" max="8449" min="8449" style="2" width="28.12"/>
    <col collapsed="false" customWidth="true" hidden="false" outlineLevel="0" max="8450" min="8450" style="2" width="10"/>
    <col collapsed="false" customWidth="true" hidden="false" outlineLevel="0" max="8451" min="8451" style="2" width="14.38"/>
    <col collapsed="false" customWidth="true" hidden="false" outlineLevel="0" max="8452" min="8452" style="2" width="8"/>
    <col collapsed="false" customWidth="true" hidden="false" outlineLevel="0" max="8453" min="8453" style="2" width="38"/>
    <col collapsed="false" customWidth="true" hidden="false" outlineLevel="0" max="8454" min="8454" style="2" width="48.12"/>
    <col collapsed="false" customWidth="false" hidden="false" outlineLevel="0" max="8704" min="8455" style="2" width="9"/>
    <col collapsed="false" customWidth="true" hidden="false" outlineLevel="0" max="8705" min="8705" style="2" width="28.12"/>
    <col collapsed="false" customWidth="true" hidden="false" outlineLevel="0" max="8706" min="8706" style="2" width="10"/>
    <col collapsed="false" customWidth="true" hidden="false" outlineLevel="0" max="8707" min="8707" style="2" width="14.38"/>
    <col collapsed="false" customWidth="true" hidden="false" outlineLevel="0" max="8708" min="8708" style="2" width="8"/>
    <col collapsed="false" customWidth="true" hidden="false" outlineLevel="0" max="8709" min="8709" style="2" width="38"/>
    <col collapsed="false" customWidth="true" hidden="false" outlineLevel="0" max="8710" min="8710" style="2" width="48.12"/>
    <col collapsed="false" customWidth="false" hidden="false" outlineLevel="0" max="8960" min="8711" style="2" width="9"/>
    <col collapsed="false" customWidth="true" hidden="false" outlineLevel="0" max="8961" min="8961" style="2" width="28.12"/>
    <col collapsed="false" customWidth="true" hidden="false" outlineLevel="0" max="8962" min="8962" style="2" width="10"/>
    <col collapsed="false" customWidth="true" hidden="false" outlineLevel="0" max="8963" min="8963" style="2" width="14.38"/>
    <col collapsed="false" customWidth="true" hidden="false" outlineLevel="0" max="8964" min="8964" style="2" width="8"/>
    <col collapsed="false" customWidth="true" hidden="false" outlineLevel="0" max="8965" min="8965" style="2" width="38"/>
    <col collapsed="false" customWidth="true" hidden="false" outlineLevel="0" max="8966" min="8966" style="2" width="48.12"/>
    <col collapsed="false" customWidth="false" hidden="false" outlineLevel="0" max="9216" min="8967" style="2" width="9"/>
    <col collapsed="false" customWidth="true" hidden="false" outlineLevel="0" max="9217" min="9217" style="2" width="28.12"/>
    <col collapsed="false" customWidth="true" hidden="false" outlineLevel="0" max="9218" min="9218" style="2" width="10"/>
    <col collapsed="false" customWidth="true" hidden="false" outlineLevel="0" max="9219" min="9219" style="2" width="14.38"/>
    <col collapsed="false" customWidth="true" hidden="false" outlineLevel="0" max="9220" min="9220" style="2" width="8"/>
    <col collapsed="false" customWidth="true" hidden="false" outlineLevel="0" max="9221" min="9221" style="2" width="38"/>
    <col collapsed="false" customWidth="true" hidden="false" outlineLevel="0" max="9222" min="9222" style="2" width="48.12"/>
    <col collapsed="false" customWidth="false" hidden="false" outlineLevel="0" max="9472" min="9223" style="2" width="9"/>
    <col collapsed="false" customWidth="true" hidden="false" outlineLevel="0" max="9473" min="9473" style="2" width="28.12"/>
    <col collapsed="false" customWidth="true" hidden="false" outlineLevel="0" max="9474" min="9474" style="2" width="10"/>
    <col collapsed="false" customWidth="true" hidden="false" outlineLevel="0" max="9475" min="9475" style="2" width="14.38"/>
    <col collapsed="false" customWidth="true" hidden="false" outlineLevel="0" max="9476" min="9476" style="2" width="8"/>
    <col collapsed="false" customWidth="true" hidden="false" outlineLevel="0" max="9477" min="9477" style="2" width="38"/>
    <col collapsed="false" customWidth="true" hidden="false" outlineLevel="0" max="9478" min="9478" style="2" width="48.12"/>
    <col collapsed="false" customWidth="false" hidden="false" outlineLevel="0" max="9728" min="9479" style="2" width="9"/>
    <col collapsed="false" customWidth="true" hidden="false" outlineLevel="0" max="9729" min="9729" style="2" width="28.12"/>
    <col collapsed="false" customWidth="true" hidden="false" outlineLevel="0" max="9730" min="9730" style="2" width="10"/>
    <col collapsed="false" customWidth="true" hidden="false" outlineLevel="0" max="9731" min="9731" style="2" width="14.38"/>
    <col collapsed="false" customWidth="true" hidden="false" outlineLevel="0" max="9732" min="9732" style="2" width="8"/>
    <col collapsed="false" customWidth="true" hidden="false" outlineLevel="0" max="9733" min="9733" style="2" width="38"/>
    <col collapsed="false" customWidth="true" hidden="false" outlineLevel="0" max="9734" min="9734" style="2" width="48.12"/>
    <col collapsed="false" customWidth="false" hidden="false" outlineLevel="0" max="9984" min="9735" style="2" width="9"/>
    <col collapsed="false" customWidth="true" hidden="false" outlineLevel="0" max="9985" min="9985" style="2" width="28.12"/>
    <col collapsed="false" customWidth="true" hidden="false" outlineLevel="0" max="9986" min="9986" style="2" width="10"/>
    <col collapsed="false" customWidth="true" hidden="false" outlineLevel="0" max="9987" min="9987" style="2" width="14.38"/>
    <col collapsed="false" customWidth="true" hidden="false" outlineLevel="0" max="9988" min="9988" style="2" width="8"/>
    <col collapsed="false" customWidth="true" hidden="false" outlineLevel="0" max="9989" min="9989" style="2" width="38"/>
    <col collapsed="false" customWidth="true" hidden="false" outlineLevel="0" max="9990" min="9990" style="2" width="48.12"/>
    <col collapsed="false" customWidth="false" hidden="false" outlineLevel="0" max="10240" min="9991" style="2" width="9"/>
    <col collapsed="false" customWidth="true" hidden="false" outlineLevel="0" max="10241" min="10241" style="2" width="28.12"/>
    <col collapsed="false" customWidth="true" hidden="false" outlineLevel="0" max="10242" min="10242" style="2" width="10"/>
    <col collapsed="false" customWidth="true" hidden="false" outlineLevel="0" max="10243" min="10243" style="2" width="14.38"/>
    <col collapsed="false" customWidth="true" hidden="false" outlineLevel="0" max="10244" min="10244" style="2" width="8"/>
    <col collapsed="false" customWidth="true" hidden="false" outlineLevel="0" max="10245" min="10245" style="2" width="38"/>
    <col collapsed="false" customWidth="true" hidden="false" outlineLevel="0" max="10246" min="10246" style="2" width="48.12"/>
    <col collapsed="false" customWidth="false" hidden="false" outlineLevel="0" max="10496" min="10247" style="2" width="9"/>
    <col collapsed="false" customWidth="true" hidden="false" outlineLevel="0" max="10497" min="10497" style="2" width="28.12"/>
    <col collapsed="false" customWidth="true" hidden="false" outlineLevel="0" max="10498" min="10498" style="2" width="10"/>
    <col collapsed="false" customWidth="true" hidden="false" outlineLevel="0" max="10499" min="10499" style="2" width="14.38"/>
    <col collapsed="false" customWidth="true" hidden="false" outlineLevel="0" max="10500" min="10500" style="2" width="8"/>
    <col collapsed="false" customWidth="true" hidden="false" outlineLevel="0" max="10501" min="10501" style="2" width="38"/>
    <col collapsed="false" customWidth="true" hidden="false" outlineLevel="0" max="10502" min="10502" style="2" width="48.12"/>
    <col collapsed="false" customWidth="false" hidden="false" outlineLevel="0" max="10752" min="10503" style="2" width="9"/>
    <col collapsed="false" customWidth="true" hidden="false" outlineLevel="0" max="10753" min="10753" style="2" width="28.12"/>
    <col collapsed="false" customWidth="true" hidden="false" outlineLevel="0" max="10754" min="10754" style="2" width="10"/>
    <col collapsed="false" customWidth="true" hidden="false" outlineLevel="0" max="10755" min="10755" style="2" width="14.38"/>
    <col collapsed="false" customWidth="true" hidden="false" outlineLevel="0" max="10756" min="10756" style="2" width="8"/>
    <col collapsed="false" customWidth="true" hidden="false" outlineLevel="0" max="10757" min="10757" style="2" width="38"/>
    <col collapsed="false" customWidth="true" hidden="false" outlineLevel="0" max="10758" min="10758" style="2" width="48.12"/>
    <col collapsed="false" customWidth="false" hidden="false" outlineLevel="0" max="11008" min="10759" style="2" width="9"/>
    <col collapsed="false" customWidth="true" hidden="false" outlineLevel="0" max="11009" min="11009" style="2" width="28.12"/>
    <col collapsed="false" customWidth="true" hidden="false" outlineLevel="0" max="11010" min="11010" style="2" width="10"/>
    <col collapsed="false" customWidth="true" hidden="false" outlineLevel="0" max="11011" min="11011" style="2" width="14.38"/>
    <col collapsed="false" customWidth="true" hidden="false" outlineLevel="0" max="11012" min="11012" style="2" width="8"/>
    <col collapsed="false" customWidth="true" hidden="false" outlineLevel="0" max="11013" min="11013" style="2" width="38"/>
    <col collapsed="false" customWidth="true" hidden="false" outlineLevel="0" max="11014" min="11014" style="2" width="48.12"/>
    <col collapsed="false" customWidth="false" hidden="false" outlineLevel="0" max="11264" min="11015" style="2" width="9"/>
    <col collapsed="false" customWidth="true" hidden="false" outlineLevel="0" max="11265" min="11265" style="2" width="28.12"/>
    <col collapsed="false" customWidth="true" hidden="false" outlineLevel="0" max="11266" min="11266" style="2" width="10"/>
    <col collapsed="false" customWidth="true" hidden="false" outlineLevel="0" max="11267" min="11267" style="2" width="14.38"/>
    <col collapsed="false" customWidth="true" hidden="false" outlineLevel="0" max="11268" min="11268" style="2" width="8"/>
    <col collapsed="false" customWidth="true" hidden="false" outlineLevel="0" max="11269" min="11269" style="2" width="38"/>
    <col collapsed="false" customWidth="true" hidden="false" outlineLevel="0" max="11270" min="11270" style="2" width="48.12"/>
    <col collapsed="false" customWidth="false" hidden="false" outlineLevel="0" max="11520" min="11271" style="2" width="9"/>
    <col collapsed="false" customWidth="true" hidden="false" outlineLevel="0" max="11521" min="11521" style="2" width="28.12"/>
    <col collapsed="false" customWidth="true" hidden="false" outlineLevel="0" max="11522" min="11522" style="2" width="10"/>
    <col collapsed="false" customWidth="true" hidden="false" outlineLevel="0" max="11523" min="11523" style="2" width="14.38"/>
    <col collapsed="false" customWidth="true" hidden="false" outlineLevel="0" max="11524" min="11524" style="2" width="8"/>
    <col collapsed="false" customWidth="true" hidden="false" outlineLevel="0" max="11525" min="11525" style="2" width="38"/>
    <col collapsed="false" customWidth="true" hidden="false" outlineLevel="0" max="11526" min="11526" style="2" width="48.12"/>
    <col collapsed="false" customWidth="false" hidden="false" outlineLevel="0" max="11776" min="11527" style="2" width="9"/>
    <col collapsed="false" customWidth="true" hidden="false" outlineLevel="0" max="11777" min="11777" style="2" width="28.12"/>
    <col collapsed="false" customWidth="true" hidden="false" outlineLevel="0" max="11778" min="11778" style="2" width="10"/>
    <col collapsed="false" customWidth="true" hidden="false" outlineLevel="0" max="11779" min="11779" style="2" width="14.38"/>
    <col collapsed="false" customWidth="true" hidden="false" outlineLevel="0" max="11780" min="11780" style="2" width="8"/>
    <col collapsed="false" customWidth="true" hidden="false" outlineLevel="0" max="11781" min="11781" style="2" width="38"/>
    <col collapsed="false" customWidth="true" hidden="false" outlineLevel="0" max="11782" min="11782" style="2" width="48.12"/>
    <col collapsed="false" customWidth="false" hidden="false" outlineLevel="0" max="12032" min="11783" style="2" width="9"/>
    <col collapsed="false" customWidth="true" hidden="false" outlineLevel="0" max="12033" min="12033" style="2" width="28.12"/>
    <col collapsed="false" customWidth="true" hidden="false" outlineLevel="0" max="12034" min="12034" style="2" width="10"/>
    <col collapsed="false" customWidth="true" hidden="false" outlineLevel="0" max="12035" min="12035" style="2" width="14.38"/>
    <col collapsed="false" customWidth="true" hidden="false" outlineLevel="0" max="12036" min="12036" style="2" width="8"/>
    <col collapsed="false" customWidth="true" hidden="false" outlineLevel="0" max="12037" min="12037" style="2" width="38"/>
    <col collapsed="false" customWidth="true" hidden="false" outlineLevel="0" max="12038" min="12038" style="2" width="48.12"/>
    <col collapsed="false" customWidth="false" hidden="false" outlineLevel="0" max="12288" min="12039" style="2" width="9"/>
    <col collapsed="false" customWidth="true" hidden="false" outlineLevel="0" max="12289" min="12289" style="2" width="28.12"/>
    <col collapsed="false" customWidth="true" hidden="false" outlineLevel="0" max="12290" min="12290" style="2" width="10"/>
    <col collapsed="false" customWidth="true" hidden="false" outlineLevel="0" max="12291" min="12291" style="2" width="14.38"/>
    <col collapsed="false" customWidth="true" hidden="false" outlineLevel="0" max="12292" min="12292" style="2" width="8"/>
    <col collapsed="false" customWidth="true" hidden="false" outlineLevel="0" max="12293" min="12293" style="2" width="38"/>
    <col collapsed="false" customWidth="true" hidden="false" outlineLevel="0" max="12294" min="12294" style="2" width="48.12"/>
    <col collapsed="false" customWidth="false" hidden="false" outlineLevel="0" max="12544" min="12295" style="2" width="9"/>
    <col collapsed="false" customWidth="true" hidden="false" outlineLevel="0" max="12545" min="12545" style="2" width="28.12"/>
    <col collapsed="false" customWidth="true" hidden="false" outlineLevel="0" max="12546" min="12546" style="2" width="10"/>
    <col collapsed="false" customWidth="true" hidden="false" outlineLevel="0" max="12547" min="12547" style="2" width="14.38"/>
    <col collapsed="false" customWidth="true" hidden="false" outlineLevel="0" max="12548" min="12548" style="2" width="8"/>
    <col collapsed="false" customWidth="true" hidden="false" outlineLevel="0" max="12549" min="12549" style="2" width="38"/>
    <col collapsed="false" customWidth="true" hidden="false" outlineLevel="0" max="12550" min="12550" style="2" width="48.12"/>
    <col collapsed="false" customWidth="false" hidden="false" outlineLevel="0" max="12800" min="12551" style="2" width="9"/>
    <col collapsed="false" customWidth="true" hidden="false" outlineLevel="0" max="12801" min="12801" style="2" width="28.12"/>
    <col collapsed="false" customWidth="true" hidden="false" outlineLevel="0" max="12802" min="12802" style="2" width="10"/>
    <col collapsed="false" customWidth="true" hidden="false" outlineLevel="0" max="12803" min="12803" style="2" width="14.38"/>
    <col collapsed="false" customWidth="true" hidden="false" outlineLevel="0" max="12804" min="12804" style="2" width="8"/>
    <col collapsed="false" customWidth="true" hidden="false" outlineLevel="0" max="12805" min="12805" style="2" width="38"/>
    <col collapsed="false" customWidth="true" hidden="false" outlineLevel="0" max="12806" min="12806" style="2" width="48.12"/>
    <col collapsed="false" customWidth="false" hidden="false" outlineLevel="0" max="13056" min="12807" style="2" width="9"/>
    <col collapsed="false" customWidth="true" hidden="false" outlineLevel="0" max="13057" min="13057" style="2" width="28.12"/>
    <col collapsed="false" customWidth="true" hidden="false" outlineLevel="0" max="13058" min="13058" style="2" width="10"/>
    <col collapsed="false" customWidth="true" hidden="false" outlineLevel="0" max="13059" min="13059" style="2" width="14.38"/>
    <col collapsed="false" customWidth="true" hidden="false" outlineLevel="0" max="13060" min="13060" style="2" width="8"/>
    <col collapsed="false" customWidth="true" hidden="false" outlineLevel="0" max="13061" min="13061" style="2" width="38"/>
    <col collapsed="false" customWidth="true" hidden="false" outlineLevel="0" max="13062" min="13062" style="2" width="48.12"/>
    <col collapsed="false" customWidth="false" hidden="false" outlineLevel="0" max="13312" min="13063" style="2" width="9"/>
    <col collapsed="false" customWidth="true" hidden="false" outlineLevel="0" max="13313" min="13313" style="2" width="28.12"/>
    <col collapsed="false" customWidth="true" hidden="false" outlineLevel="0" max="13314" min="13314" style="2" width="10"/>
    <col collapsed="false" customWidth="true" hidden="false" outlineLevel="0" max="13315" min="13315" style="2" width="14.38"/>
    <col collapsed="false" customWidth="true" hidden="false" outlineLevel="0" max="13316" min="13316" style="2" width="8"/>
    <col collapsed="false" customWidth="true" hidden="false" outlineLevel="0" max="13317" min="13317" style="2" width="38"/>
    <col collapsed="false" customWidth="true" hidden="false" outlineLevel="0" max="13318" min="13318" style="2" width="48.12"/>
    <col collapsed="false" customWidth="false" hidden="false" outlineLevel="0" max="13568" min="13319" style="2" width="9"/>
    <col collapsed="false" customWidth="true" hidden="false" outlineLevel="0" max="13569" min="13569" style="2" width="28.12"/>
    <col collapsed="false" customWidth="true" hidden="false" outlineLevel="0" max="13570" min="13570" style="2" width="10"/>
    <col collapsed="false" customWidth="true" hidden="false" outlineLevel="0" max="13571" min="13571" style="2" width="14.38"/>
    <col collapsed="false" customWidth="true" hidden="false" outlineLevel="0" max="13572" min="13572" style="2" width="8"/>
    <col collapsed="false" customWidth="true" hidden="false" outlineLevel="0" max="13573" min="13573" style="2" width="38"/>
    <col collapsed="false" customWidth="true" hidden="false" outlineLevel="0" max="13574" min="13574" style="2" width="48.12"/>
    <col collapsed="false" customWidth="false" hidden="false" outlineLevel="0" max="13824" min="13575" style="2" width="9"/>
    <col collapsed="false" customWidth="true" hidden="false" outlineLevel="0" max="13825" min="13825" style="2" width="28.12"/>
    <col collapsed="false" customWidth="true" hidden="false" outlineLevel="0" max="13826" min="13826" style="2" width="10"/>
    <col collapsed="false" customWidth="true" hidden="false" outlineLevel="0" max="13827" min="13827" style="2" width="14.38"/>
    <col collapsed="false" customWidth="true" hidden="false" outlineLevel="0" max="13828" min="13828" style="2" width="8"/>
    <col collapsed="false" customWidth="true" hidden="false" outlineLevel="0" max="13829" min="13829" style="2" width="38"/>
    <col collapsed="false" customWidth="true" hidden="false" outlineLevel="0" max="13830" min="13830" style="2" width="48.12"/>
    <col collapsed="false" customWidth="false" hidden="false" outlineLevel="0" max="14080" min="13831" style="2" width="9"/>
    <col collapsed="false" customWidth="true" hidden="false" outlineLevel="0" max="14081" min="14081" style="2" width="28.12"/>
    <col collapsed="false" customWidth="true" hidden="false" outlineLevel="0" max="14082" min="14082" style="2" width="10"/>
    <col collapsed="false" customWidth="true" hidden="false" outlineLevel="0" max="14083" min="14083" style="2" width="14.38"/>
    <col collapsed="false" customWidth="true" hidden="false" outlineLevel="0" max="14084" min="14084" style="2" width="8"/>
    <col collapsed="false" customWidth="true" hidden="false" outlineLevel="0" max="14085" min="14085" style="2" width="38"/>
    <col collapsed="false" customWidth="true" hidden="false" outlineLevel="0" max="14086" min="14086" style="2" width="48.12"/>
    <col collapsed="false" customWidth="false" hidden="false" outlineLevel="0" max="14336" min="14087" style="2" width="9"/>
    <col collapsed="false" customWidth="true" hidden="false" outlineLevel="0" max="14337" min="14337" style="2" width="28.12"/>
    <col collapsed="false" customWidth="true" hidden="false" outlineLevel="0" max="14338" min="14338" style="2" width="10"/>
    <col collapsed="false" customWidth="true" hidden="false" outlineLevel="0" max="14339" min="14339" style="2" width="14.38"/>
    <col collapsed="false" customWidth="true" hidden="false" outlineLevel="0" max="14340" min="14340" style="2" width="8"/>
    <col collapsed="false" customWidth="true" hidden="false" outlineLevel="0" max="14341" min="14341" style="2" width="38"/>
    <col collapsed="false" customWidth="true" hidden="false" outlineLevel="0" max="14342" min="14342" style="2" width="48.12"/>
    <col collapsed="false" customWidth="false" hidden="false" outlineLevel="0" max="14592" min="14343" style="2" width="9"/>
    <col collapsed="false" customWidth="true" hidden="false" outlineLevel="0" max="14593" min="14593" style="2" width="28.12"/>
    <col collapsed="false" customWidth="true" hidden="false" outlineLevel="0" max="14594" min="14594" style="2" width="10"/>
    <col collapsed="false" customWidth="true" hidden="false" outlineLevel="0" max="14595" min="14595" style="2" width="14.38"/>
    <col collapsed="false" customWidth="true" hidden="false" outlineLevel="0" max="14596" min="14596" style="2" width="8"/>
    <col collapsed="false" customWidth="true" hidden="false" outlineLevel="0" max="14597" min="14597" style="2" width="38"/>
    <col collapsed="false" customWidth="true" hidden="false" outlineLevel="0" max="14598" min="14598" style="2" width="48.12"/>
    <col collapsed="false" customWidth="false" hidden="false" outlineLevel="0" max="14848" min="14599" style="2" width="9"/>
    <col collapsed="false" customWidth="true" hidden="false" outlineLevel="0" max="14849" min="14849" style="2" width="28.12"/>
    <col collapsed="false" customWidth="true" hidden="false" outlineLevel="0" max="14850" min="14850" style="2" width="10"/>
    <col collapsed="false" customWidth="true" hidden="false" outlineLevel="0" max="14851" min="14851" style="2" width="14.38"/>
    <col collapsed="false" customWidth="true" hidden="false" outlineLevel="0" max="14852" min="14852" style="2" width="8"/>
    <col collapsed="false" customWidth="true" hidden="false" outlineLevel="0" max="14853" min="14853" style="2" width="38"/>
    <col collapsed="false" customWidth="true" hidden="false" outlineLevel="0" max="14854" min="14854" style="2" width="48.12"/>
    <col collapsed="false" customWidth="false" hidden="false" outlineLevel="0" max="15104" min="14855" style="2" width="9"/>
    <col collapsed="false" customWidth="true" hidden="false" outlineLevel="0" max="15105" min="15105" style="2" width="28.12"/>
    <col collapsed="false" customWidth="true" hidden="false" outlineLevel="0" max="15106" min="15106" style="2" width="10"/>
    <col collapsed="false" customWidth="true" hidden="false" outlineLevel="0" max="15107" min="15107" style="2" width="14.38"/>
    <col collapsed="false" customWidth="true" hidden="false" outlineLevel="0" max="15108" min="15108" style="2" width="8"/>
    <col collapsed="false" customWidth="true" hidden="false" outlineLevel="0" max="15109" min="15109" style="2" width="38"/>
    <col collapsed="false" customWidth="true" hidden="false" outlineLevel="0" max="15110" min="15110" style="2" width="48.12"/>
    <col collapsed="false" customWidth="false" hidden="false" outlineLevel="0" max="15360" min="15111" style="2" width="9"/>
    <col collapsed="false" customWidth="true" hidden="false" outlineLevel="0" max="15361" min="15361" style="2" width="28.12"/>
    <col collapsed="false" customWidth="true" hidden="false" outlineLevel="0" max="15362" min="15362" style="2" width="10"/>
    <col collapsed="false" customWidth="true" hidden="false" outlineLevel="0" max="15363" min="15363" style="2" width="14.38"/>
    <col collapsed="false" customWidth="true" hidden="false" outlineLevel="0" max="15364" min="15364" style="2" width="8"/>
    <col collapsed="false" customWidth="true" hidden="false" outlineLevel="0" max="15365" min="15365" style="2" width="38"/>
    <col collapsed="false" customWidth="true" hidden="false" outlineLevel="0" max="15366" min="15366" style="2" width="48.12"/>
    <col collapsed="false" customWidth="false" hidden="false" outlineLevel="0" max="15616" min="15367" style="2" width="9"/>
    <col collapsed="false" customWidth="true" hidden="false" outlineLevel="0" max="15617" min="15617" style="2" width="28.12"/>
    <col collapsed="false" customWidth="true" hidden="false" outlineLevel="0" max="15618" min="15618" style="2" width="10"/>
    <col collapsed="false" customWidth="true" hidden="false" outlineLevel="0" max="15619" min="15619" style="2" width="14.38"/>
    <col collapsed="false" customWidth="true" hidden="false" outlineLevel="0" max="15620" min="15620" style="2" width="8"/>
    <col collapsed="false" customWidth="true" hidden="false" outlineLevel="0" max="15621" min="15621" style="2" width="38"/>
    <col collapsed="false" customWidth="true" hidden="false" outlineLevel="0" max="15622" min="15622" style="2" width="48.12"/>
    <col collapsed="false" customWidth="false" hidden="false" outlineLevel="0" max="15872" min="15623" style="2" width="9"/>
    <col collapsed="false" customWidth="true" hidden="false" outlineLevel="0" max="15873" min="15873" style="2" width="28.12"/>
    <col collapsed="false" customWidth="true" hidden="false" outlineLevel="0" max="15874" min="15874" style="2" width="10"/>
    <col collapsed="false" customWidth="true" hidden="false" outlineLevel="0" max="15875" min="15875" style="2" width="14.38"/>
    <col collapsed="false" customWidth="true" hidden="false" outlineLevel="0" max="15876" min="15876" style="2" width="8"/>
    <col collapsed="false" customWidth="true" hidden="false" outlineLevel="0" max="15877" min="15877" style="2" width="38"/>
    <col collapsed="false" customWidth="true" hidden="false" outlineLevel="0" max="15878" min="15878" style="2" width="48.12"/>
    <col collapsed="false" customWidth="false" hidden="false" outlineLevel="0" max="16128" min="15879" style="2" width="9"/>
    <col collapsed="false" customWidth="true" hidden="false" outlineLevel="0" max="16129" min="16129" style="2" width="28.12"/>
    <col collapsed="false" customWidth="true" hidden="false" outlineLevel="0" max="16130" min="16130" style="2" width="10"/>
    <col collapsed="false" customWidth="true" hidden="false" outlineLevel="0" max="16131" min="16131" style="2" width="14.38"/>
    <col collapsed="false" customWidth="true" hidden="false" outlineLevel="0" max="16132" min="16132" style="2" width="8"/>
    <col collapsed="false" customWidth="true" hidden="false" outlineLevel="0" max="16133" min="16133" style="2" width="38"/>
    <col collapsed="false" customWidth="true" hidden="false" outlineLevel="0" max="16134" min="16134" style="2" width="48.12"/>
    <col collapsed="false" customWidth="false" hidden="false" outlineLevel="0" max="16384" min="16135" style="2" width="9"/>
  </cols>
  <sheetData>
    <row r="2" s="5" customFormat="true" ht="75.75" hidden="false" customHeight="true" outlineLevel="0" collapsed="false">
      <c r="A2" s="3"/>
      <c r="B2" s="4" t="s">
        <v>0</v>
      </c>
      <c r="C2" s="4"/>
      <c r="D2" s="4"/>
      <c r="E2" s="4"/>
      <c r="F2" s="4"/>
    </row>
    <row r="3" customFormat="false" ht="15" hidden="false" customHeight="false" outlineLevel="0" collapsed="false">
      <c r="A3" s="6"/>
      <c r="B3" s="7"/>
      <c r="E3" s="8"/>
    </row>
    <row r="4" customFormat="false" ht="31.5" hidden="false" customHeight="true" outlineLevel="0" collapsed="false">
      <c r="A4" s="9" t="s">
        <v>1</v>
      </c>
      <c r="B4" s="10" t="s">
        <v>2</v>
      </c>
      <c r="C4" s="10"/>
      <c r="D4" s="10"/>
      <c r="E4" s="9" t="s">
        <v>3</v>
      </c>
      <c r="F4" s="11" t="s">
        <v>4</v>
      </c>
    </row>
    <row r="5" customFormat="false" ht="14.25" hidden="false" customHeight="true" outlineLevel="0" collapsed="false">
      <c r="A5" s="9" t="s">
        <v>5</v>
      </c>
      <c r="B5" s="10" t="s">
        <v>6</v>
      </c>
      <c r="C5" s="10"/>
      <c r="D5" s="10"/>
      <c r="E5" s="9" t="s">
        <v>7</v>
      </c>
      <c r="F5" s="12" t="n">
        <v>46226</v>
      </c>
    </row>
    <row r="6" customFormat="false" ht="36" hidden="false" customHeight="true" outlineLevel="0" collapsed="false">
      <c r="A6" s="13" t="s">
        <v>8</v>
      </c>
      <c r="B6" s="10" t="s">
        <v>9</v>
      </c>
      <c r="C6" s="10"/>
      <c r="D6" s="10"/>
      <c r="E6" s="9" t="s">
        <v>10</v>
      </c>
      <c r="F6" s="14" t="s">
        <v>11</v>
      </c>
    </row>
    <row r="7" customFormat="false" ht="15" hidden="false" customHeight="false" outlineLevel="0" collapsed="false">
      <c r="A7" s="15"/>
      <c r="B7" s="16"/>
      <c r="E7" s="17"/>
      <c r="F7" s="7"/>
    </row>
    <row r="8" customFormat="false" ht="15" hidden="false" customHeight="false" outlineLevel="0" collapsed="false">
      <c r="A8" s="18"/>
    </row>
    <row r="9" customFormat="false" ht="15" hidden="false" customHeight="false" outlineLevel="0" collapsed="false">
      <c r="A9" s="19" t="s">
        <v>12</v>
      </c>
    </row>
    <row r="10" s="23" customFormat="true" ht="15" hidden="false" customHeight="false" outlineLevel="0" collapsed="false">
      <c r="A10" s="20" t="s">
        <v>13</v>
      </c>
      <c r="B10" s="21" t="s">
        <v>10</v>
      </c>
      <c r="C10" s="21" t="s">
        <v>14</v>
      </c>
      <c r="D10" s="21" t="s">
        <v>15</v>
      </c>
      <c r="E10" s="21" t="s">
        <v>16</v>
      </c>
      <c r="F10" s="22" t="s">
        <v>17</v>
      </c>
    </row>
    <row r="11" s="29" customFormat="true" ht="60" hidden="false" customHeight="true" outlineLevel="0" collapsed="false">
      <c r="A11" s="24" t="n">
        <v>46226</v>
      </c>
      <c r="B11" s="25" t="s">
        <v>11</v>
      </c>
      <c r="C11" s="26" t="s">
        <v>18</v>
      </c>
      <c r="D11" s="26" t="s">
        <v>19</v>
      </c>
      <c r="E11" s="27" t="s">
        <v>20</v>
      </c>
      <c r="F11" s="28" t="s">
        <v>21</v>
      </c>
    </row>
    <row r="12" s="29" customFormat="true" ht="21.75" hidden="false" customHeight="true" outlineLevel="0" collapsed="false">
      <c r="A12" s="30"/>
      <c r="B12" s="31"/>
      <c r="C12" s="32"/>
      <c r="D12" s="32"/>
      <c r="E12" s="32"/>
      <c r="F12" s="33"/>
    </row>
    <row r="13" s="29" customFormat="true" ht="19.5" hidden="false" customHeight="true" outlineLevel="0" collapsed="false">
      <c r="A13" s="30"/>
      <c r="B13" s="31"/>
      <c r="C13" s="32"/>
      <c r="D13" s="32"/>
      <c r="E13" s="32"/>
      <c r="F13" s="33"/>
    </row>
    <row r="14" s="29" customFormat="true" ht="21.75" hidden="false" customHeight="true" outlineLevel="0" collapsed="false">
      <c r="A14" s="30"/>
      <c r="B14" s="31"/>
      <c r="C14" s="32"/>
      <c r="D14" s="32"/>
      <c r="E14" s="32"/>
      <c r="F14" s="33"/>
    </row>
    <row r="15" s="29" customFormat="true" ht="19.5" hidden="false" customHeight="true" outlineLevel="0" collapsed="false">
      <c r="A15" s="30"/>
      <c r="B15" s="31"/>
      <c r="C15" s="32"/>
      <c r="D15" s="32"/>
      <c r="E15" s="32"/>
      <c r="F15" s="33"/>
    </row>
    <row r="16" s="29" customFormat="true" ht="21.75" hidden="false" customHeight="true" outlineLevel="0" collapsed="false">
      <c r="A16" s="30"/>
      <c r="B16" s="31"/>
      <c r="C16" s="32"/>
      <c r="D16" s="32"/>
      <c r="E16" s="32"/>
      <c r="F16" s="33"/>
    </row>
    <row r="17" s="29" customFormat="true" ht="19.5" hidden="false" customHeight="true" outlineLevel="0" collapsed="false">
      <c r="A17" s="34"/>
      <c r="B17" s="35"/>
      <c r="C17" s="36"/>
      <c r="D17" s="36"/>
      <c r="E17" s="36"/>
      <c r="F17" s="37"/>
    </row>
  </sheetData>
  <mergeCells count="4">
    <mergeCell ref="B2:F2"/>
    <mergeCell ref="B4:D4"/>
    <mergeCell ref="B5:D5"/>
    <mergeCell ref="B6:D6"/>
  </mergeCells>
  <printOptions headings="false" gridLines="false" gridLinesSet="true" horizontalCentered="false" verticalCentered="false"/>
  <pageMargins left="0.470138888888889" right="0.470138888888889" top="0.5" bottom="0.351388888888889" header="0.511811023622047" footer="0.170138888888889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v2/1&amp;C&amp;"Tahoma,Regular"&amp;8 Internal use&amp;R&amp;"tahomaTahoma,Regular"&amp;8 &amp;P/&amp;N</oddFooter>
  </headerFooter>
  <drawing ns1:id="rId2"/>
  <legacyDrawing ns1:id="rId3"/>
</worksheet>
</file>

<file path=xl/worksheets/sheet2.xml><?xml version="1.0" encoding="utf-8"?>
<worksheet xmlns="http://schemas.openxmlformats.org/spreadsheetml/2006/main">
  <sheetPr filterMode="false">
    <pageSetUpPr fitToPage="true"/>
  </sheetPr>
  <dimension ref="B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D13" activeCellId="0" sqref="D13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1.37"/>
    <col collapsed="false" customWidth="true" hidden="false" outlineLevel="0" max="2" min="2" style="39" width="7"/>
    <col collapsed="false" customWidth="true" hidden="false" outlineLevel="0" max="3" min="3" style="40" width="48"/>
    <col collapsed="false" customWidth="true" hidden="false" outlineLevel="0" max="4" min="4" style="40" width="16"/>
    <col collapsed="false" customWidth="true" hidden="false" outlineLevel="0" max="5" min="5" style="40" width="40"/>
    <col collapsed="false" customWidth="true" hidden="false" outlineLevel="0" max="6" min="6" style="40" width="55"/>
    <col collapsed="false" customWidth="false" hidden="false" outlineLevel="0" max="16384" min="7" style="38" width="9"/>
  </cols>
  <sheetData>
    <row r="1" customFormat="false" ht="25.5" hidden="false" customHeight="true" outlineLevel="0" collapsed="false">
      <c r="B1" s="41"/>
      <c r="D1" s="42" t="s">
        <v>22</v>
      </c>
      <c r="E1" s="43"/>
    </row>
    <row r="2" customFormat="false" ht="13.5" hidden="false" customHeight="true" outlineLevel="0" collapsed="false">
      <c r="B2" s="41"/>
      <c r="D2" s="44"/>
      <c r="E2" s="44"/>
    </row>
    <row r="3" customFormat="false" ht="15.65" hidden="false" customHeight="true" outlineLevel="0" collapsed="false">
      <c r="B3" s="45" t="s">
        <v>1</v>
      </c>
      <c r="C3" s="45"/>
      <c r="D3" s="46" t="s">
        <v>2</v>
      </c>
      <c r="E3" s="46"/>
      <c r="F3" s="46"/>
    </row>
    <row r="4" customFormat="false" ht="15.65" hidden="false" customHeight="true" outlineLevel="0" collapsed="false">
      <c r="B4" s="45" t="s">
        <v>5</v>
      </c>
      <c r="C4" s="45"/>
      <c r="D4" s="46" t="s">
        <v>6</v>
      </c>
      <c r="E4" s="46"/>
      <c r="F4" s="46"/>
    </row>
    <row r="5" s="47" customFormat="true" ht="84.75" hidden="false" customHeight="true" outlineLevel="0" collapsed="false">
      <c r="B5" s="48" t="s">
        <v>23</v>
      </c>
      <c r="C5" s="48"/>
      <c r="D5" s="46" t="s">
        <v>24</v>
      </c>
      <c r="E5" s="46"/>
      <c r="F5" s="46"/>
    </row>
    <row r="6" customFormat="false" ht="15" hidden="false" customHeight="false" outlineLevel="0" collapsed="false">
      <c r="B6" s="49"/>
      <c r="C6" s="50"/>
      <c r="D6" s="50"/>
      <c r="E6" s="50"/>
      <c r="F6" s="50"/>
    </row>
    <row r="7" s="51" customFormat="true" ht="15" hidden="false" customHeight="false" outlineLevel="0" collapsed="false">
      <c r="B7" s="52"/>
      <c r="C7" s="53"/>
      <c r="D7" s="53"/>
      <c r="E7" s="53"/>
      <c r="F7" s="53"/>
    </row>
    <row r="8" s="54" customFormat="true" ht="21" hidden="false" customHeight="true" outlineLevel="0" collapsed="false">
      <c r="B8" s="55" t="s">
        <v>25</v>
      </c>
      <c r="C8" s="56" t="s">
        <v>26</v>
      </c>
      <c r="D8" s="56" t="s">
        <v>27</v>
      </c>
      <c r="E8" s="57" t="s">
        <v>28</v>
      </c>
      <c r="F8" s="58" t="s">
        <v>29</v>
      </c>
    </row>
    <row r="9" customFormat="false" ht="66" hidden="false" customHeight="true" outlineLevel="0" collapsed="false">
      <c r="B9" s="59" t="n">
        <v>1</v>
      </c>
      <c r="C9" s="60" t="s">
        <v>30</v>
      </c>
      <c r="D9" s="61" t="s">
        <v>31</v>
      </c>
      <c r="E9" s="62" t="s">
        <v>32</v>
      </c>
      <c r="F9" s="63" t="s">
        <v>33</v>
      </c>
    </row>
    <row r="10" customFormat="false" ht="66" hidden="false" customHeight="true" outlineLevel="0" collapsed="false">
      <c r="B10" s="59" t="n">
        <v>2</v>
      </c>
      <c r="C10" s="60" t="s">
        <v>34</v>
      </c>
      <c r="D10" s="61" t="s">
        <v>31</v>
      </c>
      <c r="E10" s="62" t="s">
        <v>32</v>
      </c>
      <c r="F10" s="63" t="s">
        <v>35</v>
      </c>
    </row>
    <row r="11" customFormat="false" ht="66" hidden="false" customHeight="true" outlineLevel="0" collapsed="false">
      <c r="B11" s="59" t="n">
        <v>3</v>
      </c>
      <c r="C11" s="60" t="s">
        <v>36</v>
      </c>
      <c r="D11" s="61" t="s">
        <v>31</v>
      </c>
      <c r="E11" s="62" t="s">
        <v>32</v>
      </c>
      <c r="F11" s="63" t="s">
        <v>37</v>
      </c>
    </row>
    <row r="12" customFormat="false" ht="66" hidden="false" customHeight="true" outlineLevel="0" collapsed="false">
      <c r="B12" s="59" t="n">
        <v>4</v>
      </c>
      <c r="C12" s="60" t="s">
        <v>38</v>
      </c>
      <c r="D12" s="61" t="s">
        <v>31</v>
      </c>
      <c r="E12" s="62" t="s">
        <v>39</v>
      </c>
      <c r="F12" s="63" t="s">
        <v>40</v>
      </c>
    </row>
    <row r="13" customFormat="false" ht="66" hidden="false" customHeight="true" outlineLevel="0" collapsed="false">
      <c r="B13" s="59" t="n">
        <v>5</v>
      </c>
      <c r="C13" s="60" t="s">
        <v>41</v>
      </c>
      <c r="D13" s="61" t="s">
        <v>31</v>
      </c>
      <c r="E13" s="62" t="s">
        <v>32</v>
      </c>
      <c r="F13" s="63" t="s">
        <v>42</v>
      </c>
    </row>
    <row r="14" customFormat="false" ht="66" hidden="false" customHeight="true" outlineLevel="0" collapsed="false">
      <c r="B14" s="59" t="n">
        <v>6</v>
      </c>
      <c r="C14" s="60" t="s">
        <v>43</v>
      </c>
      <c r="D14" s="61" t="s">
        <v>31</v>
      </c>
      <c r="E14" s="62" t="s">
        <v>44</v>
      </c>
      <c r="F14" s="63" t="s">
        <v>45</v>
      </c>
    </row>
    <row r="15" customFormat="false" ht="66" hidden="false" customHeight="true" outlineLevel="0" collapsed="false">
      <c r="B15" s="59" t="n">
        <v>7</v>
      </c>
      <c r="C15" s="60" t="s">
        <v>46</v>
      </c>
      <c r="D15" s="61" t="s">
        <v>31</v>
      </c>
      <c r="E15" s="62" t="s">
        <v>47</v>
      </c>
      <c r="F15" s="63" t="s">
        <v>48</v>
      </c>
    </row>
    <row r="16" customFormat="false" ht="66" hidden="false" customHeight="true" outlineLevel="0" collapsed="false">
      <c r="B16" s="59" t="n">
        <v>8</v>
      </c>
      <c r="C16" s="60" t="s">
        <v>49</v>
      </c>
      <c r="D16" s="61" t="s">
        <v>31</v>
      </c>
      <c r="E16" s="62" t="s">
        <v>50</v>
      </c>
      <c r="F16" s="63" t="s">
        <v>51</v>
      </c>
    </row>
    <row r="17" customFormat="false" ht="66" hidden="false" customHeight="true" outlineLevel="0" collapsed="false">
      <c r="B17" s="59" t="n">
        <v>9</v>
      </c>
      <c r="C17" s="60" t="s">
        <v>52</v>
      </c>
      <c r="D17" s="61" t="s">
        <v>31</v>
      </c>
      <c r="E17" s="62" t="s">
        <v>53</v>
      </c>
      <c r="F17" s="63" t="s">
        <v>54</v>
      </c>
    </row>
    <row r="18" customFormat="false" ht="66" hidden="false" customHeight="true" outlineLevel="0" collapsed="false">
      <c r="B18" s="59" t="n">
        <v>10</v>
      </c>
      <c r="C18" s="60" t="s">
        <v>55</v>
      </c>
      <c r="D18" s="61" t="s">
        <v>56</v>
      </c>
      <c r="E18" s="62" t="s">
        <v>57</v>
      </c>
      <c r="F18" s="63" t="s">
        <v>58</v>
      </c>
    </row>
    <row r="19" customFormat="false" ht="66" hidden="false" customHeight="true" outlineLevel="0" collapsed="false">
      <c r="B19" s="59" t="n">
        <v>11</v>
      </c>
      <c r="C19" s="60" t="s">
        <v>59</v>
      </c>
      <c r="D19" s="61" t="s">
        <v>56</v>
      </c>
      <c r="E19" s="62" t="s">
        <v>60</v>
      </c>
      <c r="F19" s="63" t="s">
        <v>61</v>
      </c>
    </row>
    <row r="20" customFormat="false" ht="66" hidden="false" customHeight="true" outlineLevel="0" collapsed="false">
      <c r="B20" s="59" t="n">
        <v>12</v>
      </c>
      <c r="C20" s="60" t="s">
        <v>62</v>
      </c>
      <c r="D20" s="61" t="s">
        <v>56</v>
      </c>
      <c r="E20" s="62" t="s">
        <v>63</v>
      </c>
      <c r="F20" s="63" t="s">
        <v>64</v>
      </c>
    </row>
    <row r="21" customFormat="false" ht="66" hidden="false" customHeight="true" outlineLevel="0" collapsed="false">
      <c r="B21" s="59" t="n">
        <v>13</v>
      </c>
      <c r="C21" s="60" t="s">
        <v>65</v>
      </c>
      <c r="D21" s="61" t="s">
        <v>56</v>
      </c>
      <c r="E21" s="62" t="s">
        <v>66</v>
      </c>
      <c r="F21" s="63" t="s">
        <v>67</v>
      </c>
    </row>
    <row r="22" customFormat="false" ht="66" hidden="false" customHeight="true" outlineLevel="0" collapsed="false">
      <c r="B22" s="59" t="n">
        <v>14</v>
      </c>
      <c r="C22" s="60" t="s">
        <v>68</v>
      </c>
      <c r="D22" s="61" t="s">
        <v>56</v>
      </c>
      <c r="E22" s="62" t="s">
        <v>69</v>
      </c>
      <c r="F22" s="63" t="s">
        <v>70</v>
      </c>
    </row>
    <row r="23" customFormat="false" ht="66" hidden="false" customHeight="true" outlineLevel="0" collapsed="false">
      <c r="B23" s="59" t="n">
        <v>15</v>
      </c>
      <c r="C23" s="60" t="s">
        <v>71</v>
      </c>
      <c r="D23" s="61" t="s">
        <v>56</v>
      </c>
      <c r="E23" s="62" t="s">
        <v>72</v>
      </c>
      <c r="F23" s="63" t="s">
        <v>73</v>
      </c>
    </row>
    <row r="24" customFormat="false" ht="66" hidden="false" customHeight="true" outlineLevel="0" collapsed="false">
      <c r="B24" s="59" t="n">
        <v>16</v>
      </c>
      <c r="C24" s="60" t="s">
        <v>74</v>
      </c>
      <c r="D24" s="61" t="s">
        <v>56</v>
      </c>
      <c r="E24" s="62" t="s">
        <v>75</v>
      </c>
      <c r="F24" s="63" t="s">
        <v>76</v>
      </c>
    </row>
    <row r="25" customFormat="false" ht="66" hidden="false" customHeight="true" outlineLevel="0" collapsed="false">
      <c r="B25" s="59" t="n">
        <v>17</v>
      </c>
      <c r="C25" s="60" t="s">
        <v>77</v>
      </c>
      <c r="D25" s="61" t="s">
        <v>31</v>
      </c>
      <c r="E25" s="62" t="s">
        <v>78</v>
      </c>
      <c r="F25" s="63" t="s">
        <v>79</v>
      </c>
    </row>
    <row r="26" customFormat="false" ht="66" hidden="false" customHeight="true" outlineLevel="0" collapsed="false">
      <c r="B26" s="59" t="n">
        <v>18</v>
      </c>
      <c r="C26" s="60" t="s">
        <v>80</v>
      </c>
      <c r="D26" s="61" t="s">
        <v>56</v>
      </c>
      <c r="E26" s="62" t="s">
        <v>81</v>
      </c>
      <c r="F26" s="63" t="s">
        <v>82</v>
      </c>
    </row>
    <row r="27" customFormat="false" ht="66" hidden="false" customHeight="true" outlineLevel="0" collapsed="false">
      <c r="B27" s="59" t="n">
        <v>19</v>
      </c>
      <c r="C27" s="60" t="s">
        <v>83</v>
      </c>
      <c r="D27" s="61" t="s">
        <v>31</v>
      </c>
      <c r="E27" s="62" t="s">
        <v>84</v>
      </c>
      <c r="F27" s="63" t="s">
        <v>85</v>
      </c>
    </row>
    <row r="28" customFormat="false" ht="66" hidden="false" customHeight="true" outlineLevel="0" collapsed="false">
      <c r="B28" s="59" t="n">
        <v>20</v>
      </c>
      <c r="C28" s="60" t="s">
        <v>86</v>
      </c>
      <c r="D28" s="61" t="s">
        <v>31</v>
      </c>
      <c r="E28" s="62" t="s">
        <v>87</v>
      </c>
      <c r="F28" s="63" t="s">
        <v>88</v>
      </c>
    </row>
    <row r="29" customFormat="false" ht="66" hidden="false" customHeight="true" outlineLevel="0" collapsed="false">
      <c r="B29" s="59" t="n">
        <v>21</v>
      </c>
      <c r="C29" s="60" t="s">
        <v>89</v>
      </c>
      <c r="D29" s="61" t="s">
        <v>56</v>
      </c>
      <c r="E29" s="62" t="s">
        <v>90</v>
      </c>
      <c r="F29" s="63" t="s">
        <v>91</v>
      </c>
    </row>
    <row r="30" customFormat="false" ht="66" hidden="false" customHeight="true" outlineLevel="0" collapsed="false">
      <c r="B30" s="59" t="n">
        <v>22</v>
      </c>
      <c r="C30" s="60" t="s">
        <v>92</v>
      </c>
      <c r="D30" s="61" t="s">
        <v>56</v>
      </c>
      <c r="E30" s="62" t="s">
        <v>93</v>
      </c>
      <c r="F30" s="63" t="s">
        <v>94</v>
      </c>
    </row>
    <row r="31" customFormat="false" ht="66" hidden="false" customHeight="true" outlineLevel="0" collapsed="false">
      <c r="B31" s="59" t="n">
        <v>23</v>
      </c>
      <c r="C31" s="60" t="s">
        <v>95</v>
      </c>
      <c r="D31" s="61" t="s">
        <v>56</v>
      </c>
      <c r="E31" s="62" t="s">
        <v>96</v>
      </c>
      <c r="F31" s="63" t="s">
        <v>97</v>
      </c>
    </row>
    <row r="32" customFormat="false" ht="66" hidden="false" customHeight="true" outlineLevel="0" collapsed="false">
      <c r="B32" s="59" t="n">
        <v>24</v>
      </c>
      <c r="C32" s="60" t="s">
        <v>98</v>
      </c>
      <c r="D32" s="61" t="s">
        <v>56</v>
      </c>
      <c r="E32" s="62" t="s">
        <v>99</v>
      </c>
      <c r="F32" s="63" t="s">
        <v>100</v>
      </c>
    </row>
    <row r="33" customFormat="false" ht="66" hidden="false" customHeight="true" outlineLevel="0" collapsed="false">
      <c r="B33" s="59" t="n">
        <v>25</v>
      </c>
      <c r="C33" s="60" t="s">
        <v>101</v>
      </c>
      <c r="D33" s="61" t="s">
        <v>56</v>
      </c>
      <c r="E33" s="62" t="s">
        <v>102</v>
      </c>
      <c r="F33" s="63" t="s">
        <v>103</v>
      </c>
    </row>
    <row r="34" customFormat="false" ht="66" hidden="false" customHeight="true" outlineLevel="0" collapsed="false">
      <c r="B34" s="59" t="n">
        <v>26</v>
      </c>
      <c r="C34" s="60" t="s">
        <v>104</v>
      </c>
      <c r="D34" s="61" t="s">
        <v>56</v>
      </c>
      <c r="E34" s="62" t="s">
        <v>105</v>
      </c>
      <c r="F34" s="63" t="s">
        <v>106</v>
      </c>
    </row>
    <row r="35" customFormat="false" ht="66" hidden="false" customHeight="true" outlineLevel="0" collapsed="false">
      <c r="B35" s="59" t="n">
        <v>27</v>
      </c>
      <c r="C35" s="60" t="s">
        <v>107</v>
      </c>
      <c r="D35" s="61" t="s">
        <v>56</v>
      </c>
      <c r="E35" s="62" t="s">
        <v>108</v>
      </c>
      <c r="F35" s="63" t="s">
        <v>109</v>
      </c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Feature1!A1" display="Feature 1"/>
    <hyperlink ref="D10" location="Feature2!A1" display="Feature 1"/>
    <hyperlink ref="D11" location="Feature1!A1" display="Feature 1"/>
    <hyperlink ref="D12" location="Feature2!A1" display="Feature 1"/>
    <hyperlink ref="D13" location="Feature2!A1" display="Feature 1"/>
  </hyperlinks>
  <printOptions headings="false" gridLines="false" gridLinesSet="true" horizontalCentered="false" verticalCentered="false"/>
  <pageMargins left="0.747916666666667" right="0.747916666666667" top="0.984027777777778" bottom="1.15069444444444" header="0.511811023622047" footer="0.984027777777778"/>
  <pageSetup paperSize="9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3.xml><?xml version="1.0" encoding="utf-8"?>
<worksheet xmlns="http://schemas.openxmlformats.org/spreadsheetml/2006/main">
  <sheetPr filterMode="false">
    <pageSetUpPr fitToPage="true"/>
  </sheetPr>
  <dimension ref="A1:H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B2" activeCellId="0" sqref="B2"/>
    </sheetView>
  </sheetViews>
  <sheetFormatPr defaultColWidth="9.00390625" defaultRowHeight="12.75" customHeight="false" zeroHeight="false" outlineLevelRow="0" outlineLevelCol="0"/>
  <cols>
    <col collapsed="false" customWidth="true" hidden="false" outlineLevel="0" max="1" min="1" style="38" width="4.5"/>
    <col collapsed="false" customWidth="true" hidden="false" outlineLevel="0" max="3" min="2" style="38" width="34"/>
    <col collapsed="false" customWidth="true" hidden="false" outlineLevel="0" max="6" min="4" style="38" width="20"/>
    <col collapsed="false" customWidth="true" hidden="false" outlineLevel="0" max="7" min="7" style="38" width="18"/>
    <col collapsed="false" customWidth="true" hidden="false" outlineLevel="0" max="8" min="8" style="38" width="22"/>
    <col collapsed="false" customWidth="true" hidden="false" outlineLevel="0" max="9" min="9" style="38" width="33.12"/>
    <col collapsed="false" customWidth="false" hidden="false" outlineLevel="0" max="16384" min="10" style="38" width="9"/>
  </cols>
  <sheetData>
    <row r="1" customFormat="false" ht="25.5" hidden="false" customHeight="true" outlineLevel="0" collapsed="false">
      <c r="B1" s="64" t="s">
        <v>110</v>
      </c>
      <c r="C1" s="64"/>
      <c r="D1" s="64"/>
      <c r="E1" s="64"/>
      <c r="F1" s="64"/>
      <c r="G1" s="64"/>
      <c r="H1" s="64"/>
    </row>
    <row r="2" customFormat="false" ht="14.25" hidden="false" customHeight="true" outlineLevel="0" collapsed="false">
      <c r="A2" s="65"/>
      <c r="B2" s="65"/>
      <c r="C2" s="66"/>
      <c r="D2" s="66"/>
      <c r="E2" s="66"/>
      <c r="F2" s="66"/>
      <c r="G2" s="66"/>
      <c r="H2" s="67"/>
    </row>
    <row r="3" customFormat="false" ht="30" hidden="false" customHeight="true" outlineLevel="0" collapsed="false">
      <c r="B3" s="68" t="s">
        <v>1</v>
      </c>
      <c r="C3" s="46" t="s">
        <v>2</v>
      </c>
      <c r="D3" s="46"/>
      <c r="E3" s="69" t="s">
        <v>4</v>
      </c>
      <c r="F3" s="69"/>
      <c r="G3" s="70"/>
      <c r="H3" s="71"/>
    </row>
    <row r="4" customFormat="false" ht="24" hidden="false" customHeight="true" outlineLevel="0" collapsed="false">
      <c r="B4" s="68" t="s">
        <v>5</v>
      </c>
      <c r="C4" s="46" t="s">
        <v>6</v>
      </c>
      <c r="D4" s="46"/>
      <c r="E4" s="69" t="s">
        <v>111</v>
      </c>
      <c r="F4" s="69"/>
      <c r="G4" s="70"/>
      <c r="H4" s="71"/>
    </row>
    <row r="5" customFormat="false" ht="24" hidden="false" customHeight="true" outlineLevel="0" collapsed="false">
      <c r="B5" s="72" t="s">
        <v>8</v>
      </c>
      <c r="C5" s="46" t="s">
        <v>9</v>
      </c>
      <c r="D5" s="46"/>
      <c r="E5" s="73" t="s">
        <v>7</v>
      </c>
      <c r="F5" s="73"/>
      <c r="G5" s="70"/>
      <c r="H5" s="74" t="n">
        <v>46226</v>
      </c>
    </row>
    <row r="6" customFormat="false" ht="36" hidden="false" customHeight="true" outlineLevel="0" collapsed="false">
      <c r="A6" s="65"/>
      <c r="B6" s="72" t="s">
        <v>112</v>
      </c>
      <c r="C6" s="75" t="s">
        <v>113</v>
      </c>
      <c r="D6" s="75"/>
      <c r="E6" s="75"/>
      <c r="F6" s="75"/>
      <c r="G6" s="75"/>
      <c r="H6" s="75"/>
    </row>
    <row r="7" customFormat="false" ht="14.25" hidden="false" customHeight="true" outlineLevel="0" collapsed="false">
      <c r="A7" s="65"/>
      <c r="B7" s="76"/>
      <c r="C7" s="77"/>
      <c r="D7" s="66"/>
      <c r="E7" s="66"/>
      <c r="F7" s="66"/>
      <c r="G7" s="66"/>
      <c r="H7" s="67"/>
    </row>
    <row r="8" customFormat="false" ht="15" hidden="false" customHeight="false" outlineLevel="0" collapsed="false">
      <c r="B8" s="76"/>
      <c r="C8" s="77"/>
      <c r="D8" s="66"/>
      <c r="E8" s="66"/>
      <c r="F8" s="66"/>
      <c r="G8" s="66"/>
      <c r="H8" s="67"/>
    </row>
    <row r="9" customFormat="false" ht="15" hidden="false" customHeight="false" outlineLevel="0" collapsed="false">
      <c r="A9" s="50"/>
      <c r="B9" s="50"/>
      <c r="C9" s="50"/>
      <c r="D9" s="50"/>
      <c r="E9" s="50"/>
      <c r="F9" s="50"/>
      <c r="G9" s="50"/>
      <c r="H9" s="50"/>
    </row>
    <row r="10" customFormat="false" ht="33.75" hidden="false" customHeight="true" outlineLevel="0" collapsed="false">
      <c r="A10" s="78"/>
      <c r="B10" s="79" t="s">
        <v>25</v>
      </c>
      <c r="C10" s="80" t="s">
        <v>114</v>
      </c>
      <c r="D10" s="81" t="s">
        <v>115</v>
      </c>
      <c r="E10" s="80" t="s">
        <v>116</v>
      </c>
      <c r="F10" s="80" t="s">
        <v>117</v>
      </c>
      <c r="G10" s="82" t="s">
        <v>118</v>
      </c>
      <c r="H10" s="83" t="s">
        <v>119</v>
      </c>
    </row>
    <row r="11" customFormat="false" ht="29.85" hidden="false" customHeight="false" outlineLevel="0" collapsed="false">
      <c r="A11" s="78"/>
      <c r="B11" s="84" t="n">
        <v>1</v>
      </c>
      <c r="C11" s="85" t="s">
        <v>120</v>
      </c>
      <c r="D11" s="86" t="n">
        <f aca="false">COUNTIF('Feature 1'!$F$12:$F$23,"Passed")</f>
        <v>12</v>
      </c>
      <c r="E11" s="86" t="n">
        <f aca="false">COUNTIF('Feature 1'!$F$12:$F$23,"Failed")</f>
        <v>0</v>
      </c>
      <c r="F11" s="86" t="n">
        <f aca="false">COUNTIF('Feature 1'!$F$12:$F$23,"Pending")</f>
        <v>0</v>
      </c>
      <c r="G11" s="86" t="n">
        <f aca="false">COUNTIF('Feature 1'!$F$12:$F$23,"Blocked")</f>
        <v>0</v>
      </c>
      <c r="H11" s="87" t="n">
        <f aca="false">SUM(D11:G11)</f>
        <v>12</v>
      </c>
    </row>
    <row r="12" customFormat="false" ht="15.65" hidden="false" customHeight="false" outlineLevel="0" collapsed="false">
      <c r="A12" s="78"/>
      <c r="B12" s="84" t="n">
        <v>2</v>
      </c>
      <c r="C12" s="85" t="s">
        <v>121</v>
      </c>
      <c r="D12" s="86" t="n">
        <f aca="false">COUNTIF('Feature 2'!$F$12:$F$26,"Passed")</f>
        <v>0</v>
      </c>
      <c r="E12" s="86" t="n">
        <f aca="false">COUNTIF('Feature 2'!$F$12:$F$26,"Failed")</f>
        <v>0</v>
      </c>
      <c r="F12" s="86" t="n">
        <f aca="false">COUNTIF('Feature 2'!$F$12:$F$26,"Pending")</f>
        <v>15</v>
      </c>
      <c r="G12" s="86" t="n">
        <f aca="false">COUNTIF('Feature 2'!$F$12:$F$26,"Blocked")</f>
        <v>0</v>
      </c>
      <c r="H12" s="86" t="n">
        <f aca="false">SUM(D12:G12)</f>
        <v>15</v>
      </c>
    </row>
    <row r="13" customFormat="false" ht="15" hidden="false" customHeight="false" outlineLevel="0" collapsed="false">
      <c r="A13" s="78"/>
      <c r="B13" s="84"/>
      <c r="C13" s="88"/>
      <c r="D13" s="86"/>
      <c r="E13" s="86"/>
      <c r="F13" s="86"/>
      <c r="G13" s="89"/>
      <c r="H13" s="87"/>
    </row>
    <row r="14" customFormat="false" ht="15" hidden="false" customHeight="false" outlineLevel="0" collapsed="false">
      <c r="A14" s="78"/>
      <c r="B14" s="90"/>
      <c r="C14" s="91" t="s">
        <v>122</v>
      </c>
      <c r="D14" s="92" t="n">
        <f aca="false">SUM(D11:D12)</f>
        <v>12</v>
      </c>
      <c r="E14" s="92" t="n">
        <f aca="false">SUM(E11:E12)</f>
        <v>0</v>
      </c>
      <c r="F14" s="92" t="n">
        <f aca="false">SUM(F11:F12)</f>
        <v>15</v>
      </c>
      <c r="G14" s="92" t="n">
        <f aca="false">SUM(G11:G12)</f>
        <v>0</v>
      </c>
      <c r="H14" s="93" t="n">
        <f aca="false">SUM(H11:H12)</f>
        <v>27</v>
      </c>
    </row>
    <row r="15" customFormat="false" ht="15" hidden="false" customHeight="false" outlineLevel="0" collapsed="false">
      <c r="A15" s="50"/>
      <c r="B15" s="94"/>
      <c r="C15" s="50"/>
      <c r="D15" s="95"/>
      <c r="E15" s="96"/>
      <c r="F15" s="96"/>
      <c r="G15" s="96"/>
      <c r="H15" s="96"/>
    </row>
    <row r="16" customFormat="false" ht="36" hidden="false" customHeight="true" outlineLevel="0" collapsed="false">
      <c r="A16" s="50"/>
      <c r="B16" s="50"/>
      <c r="C16" s="97" t="s">
        <v>123</v>
      </c>
      <c r="D16" s="50"/>
      <c r="E16" s="98" t="n">
        <f aca="false">IFERROR((D14+E14)/(H14),0)</f>
        <v>0.444444444444444</v>
      </c>
      <c r="F16" s="99"/>
      <c r="G16" s="50"/>
      <c r="H16" s="100"/>
    </row>
    <row r="17" customFormat="false" ht="36" hidden="false" customHeight="true" outlineLevel="0" collapsed="false">
      <c r="A17" s="50"/>
      <c r="B17" s="50"/>
      <c r="C17" s="97" t="s">
        <v>124</v>
      </c>
      <c r="D17" s="50"/>
      <c r="E17" s="98" t="n">
        <f aca="false">IFERROR(D14/(D14+E14),0)</f>
        <v>1</v>
      </c>
      <c r="F17" s="99"/>
      <c r="G17" s="50"/>
      <c r="H17" s="100"/>
    </row>
    <row r="18" customFormat="false" ht="15" hidden="false" customHeight="false" outlineLevel="0" collapsed="false">
      <c r="C18" s="50"/>
      <c r="D18" s="50"/>
    </row>
    <row r="19" customFormat="false" ht="31.5" hidden="false" customHeight="true" outlineLevel="0" collapsed="false">
      <c r="B19" s="101" t="s">
        <v>125</v>
      </c>
      <c r="C19" s="101" t="s">
        <v>126</v>
      </c>
      <c r="D19" s="101" t="s">
        <v>127</v>
      </c>
      <c r="E19" s="101"/>
      <c r="F19" s="101"/>
      <c r="G19" s="101"/>
      <c r="H19" s="101"/>
    </row>
    <row r="20" customFormat="false" ht="33.75" hidden="false" customHeight="true" outlineLevel="0" collapsed="false">
      <c r="B20" s="102" t="s">
        <v>128</v>
      </c>
      <c r="C20" s="103" t="n">
        <v>27</v>
      </c>
      <c r="D20" s="104" t="s">
        <v>129</v>
      </c>
      <c r="E20" s="104"/>
      <c r="F20" s="104"/>
      <c r="G20" s="104"/>
      <c r="H20" s="104"/>
    </row>
    <row r="21" customFormat="false" ht="33.75" hidden="false" customHeight="true" outlineLevel="0" collapsed="false">
      <c r="B21" s="102" t="s">
        <v>130</v>
      </c>
      <c r="C21" s="103" t="n">
        <v>12</v>
      </c>
      <c r="D21" s="104" t="s">
        <v>131</v>
      </c>
      <c r="E21" s="104"/>
      <c r="F21" s="104"/>
      <c r="G21" s="104"/>
      <c r="H21" s="104"/>
    </row>
    <row r="22" customFormat="false" ht="33.75" hidden="false" customHeight="true" outlineLevel="0" collapsed="false">
      <c r="B22" s="102" t="s">
        <v>132</v>
      </c>
      <c r="C22" s="103" t="n">
        <v>12</v>
      </c>
      <c r="D22" s="104" t="s">
        <v>133</v>
      </c>
      <c r="E22" s="104"/>
      <c r="F22" s="104"/>
      <c r="G22" s="104"/>
      <c r="H22" s="104"/>
    </row>
    <row r="23" customFormat="false" ht="33.75" hidden="false" customHeight="true" outlineLevel="0" collapsed="false">
      <c r="B23" s="102" t="s">
        <v>134</v>
      </c>
      <c r="C23" s="103" t="n">
        <v>0</v>
      </c>
      <c r="D23" s="104" t="s">
        <v>135</v>
      </c>
      <c r="E23" s="104"/>
      <c r="F23" s="104"/>
      <c r="G23" s="104"/>
      <c r="H23" s="104"/>
    </row>
    <row r="24" customFormat="false" ht="33.75" hidden="false" customHeight="true" outlineLevel="0" collapsed="false">
      <c r="B24" s="102" t="s">
        <v>118</v>
      </c>
      <c r="C24" s="103" t="n">
        <v>0</v>
      </c>
      <c r="D24" s="104" t="s">
        <v>136</v>
      </c>
      <c r="E24" s="104"/>
      <c r="F24" s="104"/>
      <c r="G24" s="104"/>
      <c r="H24" s="104"/>
    </row>
    <row r="25" customFormat="false" ht="33.75" hidden="false" customHeight="true" outlineLevel="0" collapsed="false">
      <c r="B25" s="102" t="s">
        <v>137</v>
      </c>
      <c r="C25" s="103" t="n">
        <v>15</v>
      </c>
      <c r="D25" s="104" t="s">
        <v>138</v>
      </c>
      <c r="E25" s="104"/>
      <c r="F25" s="104"/>
      <c r="G25" s="104"/>
      <c r="H25" s="104"/>
    </row>
    <row r="26" customFormat="false" ht="43.5" hidden="false" customHeight="true" outlineLevel="0" collapsed="false">
      <c r="B26" s="102" t="s">
        <v>139</v>
      </c>
      <c r="C26" s="105" t="n">
        <v>1</v>
      </c>
      <c r="D26" s="104" t="s">
        <v>140</v>
      </c>
      <c r="E26" s="104"/>
      <c r="F26" s="104"/>
      <c r="G26" s="104"/>
      <c r="H26" s="104"/>
    </row>
    <row r="27" customFormat="false" ht="43.5" hidden="false" customHeight="true" outlineLevel="0" collapsed="false">
      <c r="B27" s="102" t="s">
        <v>141</v>
      </c>
      <c r="C27" s="105" t="n">
        <v>0.53125</v>
      </c>
      <c r="D27" s="104" t="s">
        <v>142</v>
      </c>
      <c r="E27" s="104"/>
      <c r="F27" s="104"/>
      <c r="G27" s="104"/>
      <c r="H27" s="104"/>
    </row>
    <row r="28" customFormat="false" ht="43.5" hidden="false" customHeight="true" outlineLevel="0" collapsed="false">
      <c r="B28" s="102" t="s">
        <v>143</v>
      </c>
      <c r="C28" s="103" t="n">
        <v>160</v>
      </c>
      <c r="D28" s="104" t="s">
        <v>144</v>
      </c>
      <c r="E28" s="104"/>
      <c r="F28" s="104"/>
      <c r="G28" s="104"/>
      <c r="H28" s="104"/>
    </row>
    <row r="29" customFormat="false" ht="33.75" hidden="false" customHeight="true" outlineLevel="0" collapsed="false">
      <c r="B29" s="102" t="s">
        <v>145</v>
      </c>
      <c r="C29" s="103" t="n">
        <v>12</v>
      </c>
      <c r="D29" s="104" t="s">
        <v>146</v>
      </c>
      <c r="E29" s="104"/>
      <c r="F29" s="104"/>
      <c r="G29" s="104"/>
      <c r="H29" s="104"/>
    </row>
  </sheetData>
  <mergeCells count="19">
    <mergeCell ref="B1:H1"/>
    <mergeCell ref="C3:D3"/>
    <mergeCell ref="E3:F3"/>
    <mergeCell ref="C4:D4"/>
    <mergeCell ref="E4:F4"/>
    <mergeCell ref="C5:D5"/>
    <mergeCell ref="E5:F5"/>
    <mergeCell ref="C6:H6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"/>
  <pageSetup paperSize="1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&amp;L&amp;"Tahoma,Regular"&amp;8 02ae-BM/PM/HDCV/FSOFT v2/0&amp;C&amp;"tahoma,Regular"&amp;8 Internal use&amp;R&amp;"Tahoma,Regular"&amp;8 &amp;P/&amp;N</oddFooter>
  </headerFooter>
</worksheet>
</file>

<file path=xl/worksheets/sheet4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23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F12" activeCellId="0" sqref="F12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2"/>
    <col collapsed="false" customWidth="true" hidden="false" outlineLevel="0" max="17" min="17" style="106" width="8.13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s="114" customFormat="true" ht="36" hidden="false" customHeight="true" outlineLevel="0" collapsed="false">
      <c r="A1" s="107" t="s">
        <v>147</v>
      </c>
      <c r="B1" s="108" t="s">
        <v>120</v>
      </c>
      <c r="C1" s="108"/>
      <c r="D1" s="108"/>
      <c r="E1" s="108"/>
      <c r="F1" s="109"/>
      <c r="G1" s="110"/>
      <c r="H1" s="111"/>
      <c r="I1" s="109"/>
      <c r="J1" s="110"/>
      <c r="K1" s="111"/>
      <c r="L1" s="109"/>
      <c r="M1" s="110"/>
      <c r="N1" s="111"/>
      <c r="O1" s="111"/>
      <c r="P1" s="111"/>
      <c r="Q1" s="112"/>
      <c r="R1" s="113" t="s">
        <v>115</v>
      </c>
    </row>
    <row r="2" s="114" customFormat="true" ht="36" hidden="false" customHeight="true" outlineLevel="0" collapsed="false">
      <c r="A2" s="115" t="s">
        <v>148</v>
      </c>
      <c r="B2" s="116" t="s">
        <v>149</v>
      </c>
      <c r="C2" s="116"/>
      <c r="D2" s="116"/>
      <c r="E2" s="116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116</v>
      </c>
    </row>
    <row r="3" s="114" customFormat="true" ht="36" hidden="false" customHeight="true" outlineLevel="0" collapsed="false">
      <c r="A3" s="115" t="s">
        <v>119</v>
      </c>
      <c r="B3" s="116" t="n">
        <f aca="false">COUNTA(A12:A23)</f>
        <v>12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117</v>
      </c>
    </row>
    <row r="4" s="114" customFormat="true" ht="36" hidden="false" customHeight="true" outlineLevel="0" collapsed="false">
      <c r="A4" s="117" t="s">
        <v>150</v>
      </c>
      <c r="B4" s="118" t="s">
        <v>115</v>
      </c>
      <c r="C4" s="118" t="s">
        <v>116</v>
      </c>
      <c r="D4" s="118" t="s">
        <v>117</v>
      </c>
      <c r="E4" s="119" t="s">
        <v>151</v>
      </c>
      <c r="F4" s="120"/>
      <c r="G4" s="120"/>
      <c r="H4" s="121"/>
      <c r="I4" s="120"/>
      <c r="J4" s="120"/>
      <c r="K4" s="121"/>
      <c r="L4" s="120"/>
      <c r="M4" s="120"/>
      <c r="N4" s="121"/>
      <c r="O4" s="121"/>
      <c r="P4" s="121"/>
      <c r="Q4" s="122"/>
      <c r="R4" s="113" t="s">
        <v>152</v>
      </c>
    </row>
    <row r="5" s="114" customFormat="true" ht="15" hidden="false" customHeight="true" outlineLevel="0" collapsed="false">
      <c r="A5" s="117" t="s">
        <v>153</v>
      </c>
      <c r="B5" s="123" t="n">
        <f aca="false">COUNTIF($F$12:$F$23,"Passed")</f>
        <v>12</v>
      </c>
      <c r="C5" s="123" t="n">
        <f aca="false">COUNTIF($F$12:$F$23,"Failed")</f>
        <v>0</v>
      </c>
      <c r="D5" s="123" t="n">
        <f aca="false">COUNTIF($F$12:$F$23,"Pending")</f>
        <v>0</v>
      </c>
      <c r="E5" s="124" t="n">
        <f aca="false">COUNTIF($F$12:$F$23,"Blocked")</f>
        <v>0</v>
      </c>
      <c r="F5" s="125"/>
      <c r="G5" s="125"/>
      <c r="H5" s="121"/>
      <c r="I5" s="125"/>
      <c r="J5" s="125"/>
      <c r="K5" s="121"/>
      <c r="L5" s="125"/>
      <c r="M5" s="125"/>
      <c r="N5" s="121"/>
      <c r="O5" s="121"/>
      <c r="P5" s="121"/>
      <c r="Q5" s="122"/>
    </row>
    <row r="6" s="114" customFormat="true" ht="15" hidden="false" customHeight="true" outlineLevel="0" collapsed="false">
      <c r="A6" s="117" t="s">
        <v>154</v>
      </c>
      <c r="B6" s="123" t="n">
        <f aca="false">COUNTIF($F10:$F996,B4)</f>
        <v>12</v>
      </c>
      <c r="C6" s="123" t="n">
        <f aca="false">COUNTIF($F10:$F996,C4)</f>
        <v>0</v>
      </c>
      <c r="D6" s="123" t="n">
        <f aca="false">COUNTIF($F10:$F996,D4)</f>
        <v>0</v>
      </c>
      <c r="E6" s="124" t="n">
        <f aca="false">COUNTIF($F10:$F996,E4)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26" t="s">
        <v>155</v>
      </c>
      <c r="B7" s="127" t="n">
        <f aca="false">COUNTIF($F10:$F996,B4)</f>
        <v>12</v>
      </c>
      <c r="C7" s="127" t="n">
        <f aca="false">COUNTIF($F10:$F996,C4)</f>
        <v>0</v>
      </c>
      <c r="D7" s="127" t="n">
        <f aca="false">COUNTIF($F10:$F996,D4)</f>
        <v>0</v>
      </c>
      <c r="E7" s="128" t="n">
        <f aca="false">COUNTIF($F10:$F996,E4)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9.75" hidden="false" customHeight="true" outlineLevel="0" collapsed="false">
      <c r="A8" s="121"/>
      <c r="B8" s="121"/>
      <c r="C8" s="121"/>
      <c r="D8" s="121"/>
      <c r="E8" s="121"/>
      <c r="F8" s="100"/>
      <c r="G8" s="121"/>
      <c r="H8" s="121"/>
      <c r="I8" s="100"/>
      <c r="J8" s="121"/>
      <c r="K8" s="121"/>
      <c r="L8" s="100"/>
      <c r="M8" s="121"/>
      <c r="N8" s="121"/>
      <c r="O8" s="121"/>
      <c r="P8" s="121"/>
      <c r="Q8" s="122"/>
    </row>
    <row r="9" s="114" customFormat="true" ht="8.2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156</v>
      </c>
      <c r="B10" s="129" t="s">
        <v>157</v>
      </c>
      <c r="C10" s="129" t="s">
        <v>158</v>
      </c>
      <c r="D10" s="129" t="s">
        <v>159</v>
      </c>
      <c r="E10" s="129" t="s">
        <v>29</v>
      </c>
      <c r="F10" s="129" t="s">
        <v>153</v>
      </c>
      <c r="G10" s="129" t="s">
        <v>160</v>
      </c>
      <c r="H10" s="129" t="s">
        <v>161</v>
      </c>
      <c r="I10" s="129" t="s">
        <v>154</v>
      </c>
      <c r="J10" s="129" t="s">
        <v>160</v>
      </c>
      <c r="K10" s="129" t="s">
        <v>161</v>
      </c>
      <c r="L10" s="129" t="s">
        <v>155</v>
      </c>
      <c r="M10" s="129" t="s">
        <v>160</v>
      </c>
      <c r="N10" s="129" t="s">
        <v>161</v>
      </c>
      <c r="O10" s="129" t="s">
        <v>112</v>
      </c>
      <c r="Q10" s="130"/>
    </row>
    <row r="11" s="114" customFormat="true" ht="15.75" hidden="false" customHeight="true" outlineLevel="0" collapsed="false">
      <c r="A11" s="131" t="s">
        <v>162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163</v>
      </c>
      <c r="B12" s="137" t="s">
        <v>164</v>
      </c>
      <c r="C12" s="137" t="s">
        <v>165</v>
      </c>
      <c r="D12" s="46" t="s">
        <v>166</v>
      </c>
      <c r="E12" s="46" t="s">
        <v>33</v>
      </c>
      <c r="F12" s="136" t="s">
        <v>115</v>
      </c>
      <c r="G12" s="136" t="s">
        <v>167</v>
      </c>
      <c r="H12" s="136" t="s">
        <v>4</v>
      </c>
      <c r="I12" s="116" t="s">
        <v>152</v>
      </c>
      <c r="J12" s="116"/>
      <c r="K12" s="116"/>
      <c r="L12" s="116" t="s">
        <v>152</v>
      </c>
      <c r="M12" s="116"/>
      <c r="N12" s="116"/>
      <c r="O12" s="138" t="s">
        <v>168</v>
      </c>
      <c r="Q12" s="140"/>
    </row>
    <row r="13" customFormat="false" ht="109.5" hidden="false" customHeight="true" outlineLevel="1" collapsed="false">
      <c r="A13" s="136" t="s">
        <v>169</v>
      </c>
      <c r="B13" s="116" t="s">
        <v>170</v>
      </c>
      <c r="C13" s="116" t="s">
        <v>171</v>
      </c>
      <c r="D13" s="141" t="s">
        <v>172</v>
      </c>
      <c r="E13" s="141" t="s">
        <v>35</v>
      </c>
      <c r="F13" s="136" t="s">
        <v>115</v>
      </c>
      <c r="G13" s="136" t="s">
        <v>167</v>
      </c>
      <c r="H13" s="136" t="s">
        <v>4</v>
      </c>
      <c r="I13" s="116" t="s">
        <v>152</v>
      </c>
      <c r="J13" s="116"/>
      <c r="K13" s="116"/>
      <c r="L13" s="116" t="s">
        <v>152</v>
      </c>
      <c r="M13" s="116"/>
      <c r="N13" s="116"/>
      <c r="O13" s="138" t="s">
        <v>173</v>
      </c>
      <c r="Q13" s="140"/>
    </row>
    <row r="14" customFormat="false" ht="109.5" hidden="false" customHeight="true" outlineLevel="1" collapsed="false">
      <c r="A14" s="136" t="s">
        <v>174</v>
      </c>
      <c r="B14" s="116" t="s">
        <v>175</v>
      </c>
      <c r="C14" s="116" t="s">
        <v>176</v>
      </c>
      <c r="D14" s="141" t="s">
        <v>177</v>
      </c>
      <c r="E14" s="141" t="s">
        <v>37</v>
      </c>
      <c r="F14" s="136" t="s">
        <v>115</v>
      </c>
      <c r="G14" s="136" t="s">
        <v>167</v>
      </c>
      <c r="H14" s="136" t="s">
        <v>4</v>
      </c>
      <c r="I14" s="116" t="s">
        <v>152</v>
      </c>
      <c r="J14" s="116"/>
      <c r="K14" s="116"/>
      <c r="L14" s="116" t="s">
        <v>152</v>
      </c>
      <c r="M14" s="116"/>
      <c r="N14" s="116"/>
      <c r="O14" s="138" t="s">
        <v>178</v>
      </c>
      <c r="Q14" s="140"/>
    </row>
    <row r="15" s="114" customFormat="true" ht="109.5" hidden="false" customHeight="true" outlineLevel="0" collapsed="false">
      <c r="A15" s="142" t="s">
        <v>179</v>
      </c>
      <c r="B15" s="143" t="s">
        <v>180</v>
      </c>
      <c r="C15" s="144" t="s">
        <v>181</v>
      </c>
      <c r="D15" s="144" t="s">
        <v>182</v>
      </c>
      <c r="E15" s="144" t="s">
        <v>40</v>
      </c>
      <c r="F15" s="145" t="s">
        <v>115</v>
      </c>
      <c r="G15" s="145" t="s">
        <v>167</v>
      </c>
      <c r="H15" s="145" t="s">
        <v>4</v>
      </c>
      <c r="I15" s="144" t="s">
        <v>152</v>
      </c>
      <c r="J15" s="144"/>
      <c r="K15" s="144"/>
      <c r="L15" s="144" t="s">
        <v>152</v>
      </c>
      <c r="M15" s="144"/>
      <c r="N15" s="144"/>
      <c r="O15" s="146" t="s">
        <v>183</v>
      </c>
      <c r="Q15" s="135"/>
    </row>
    <row r="16" customFormat="false" ht="109.5" hidden="false" customHeight="true" outlineLevel="1" collapsed="false">
      <c r="A16" s="136" t="s">
        <v>184</v>
      </c>
      <c r="B16" s="116" t="s">
        <v>185</v>
      </c>
      <c r="C16" s="116" t="s">
        <v>186</v>
      </c>
      <c r="D16" s="116" t="s">
        <v>187</v>
      </c>
      <c r="E16" s="116" t="s">
        <v>42</v>
      </c>
      <c r="F16" s="136" t="s">
        <v>115</v>
      </c>
      <c r="G16" s="136" t="s">
        <v>167</v>
      </c>
      <c r="H16" s="136" t="s">
        <v>4</v>
      </c>
      <c r="I16" s="116" t="s">
        <v>152</v>
      </c>
      <c r="J16" s="116"/>
      <c r="K16" s="116"/>
      <c r="L16" s="116" t="s">
        <v>152</v>
      </c>
      <c r="M16" s="116"/>
      <c r="N16" s="116"/>
      <c r="O16" s="138" t="s">
        <v>188</v>
      </c>
      <c r="Q16" s="140"/>
    </row>
    <row r="17" customFormat="false" ht="109.5" hidden="false" customHeight="true" outlineLevel="1" collapsed="false">
      <c r="A17" s="136" t="s">
        <v>189</v>
      </c>
      <c r="B17" s="116" t="s">
        <v>190</v>
      </c>
      <c r="C17" s="116" t="s">
        <v>191</v>
      </c>
      <c r="D17" s="116" t="s">
        <v>192</v>
      </c>
      <c r="E17" s="116" t="s">
        <v>45</v>
      </c>
      <c r="F17" s="136" t="s">
        <v>115</v>
      </c>
      <c r="G17" s="147" t="s">
        <v>193</v>
      </c>
      <c r="H17" s="147" t="s">
        <v>4</v>
      </c>
      <c r="I17" s="116" t="s">
        <v>152</v>
      </c>
      <c r="J17" s="138"/>
      <c r="K17" s="138"/>
      <c r="L17" s="116" t="s">
        <v>152</v>
      </c>
      <c r="M17" s="138"/>
      <c r="N17" s="138"/>
      <c r="O17" s="138" t="s">
        <v>194</v>
      </c>
      <c r="Q17" s="148"/>
    </row>
    <row r="18" s="114" customFormat="true" ht="109.5" hidden="false" customHeight="true" outlineLevel="0" collapsed="false">
      <c r="A18" s="142" t="s">
        <v>195</v>
      </c>
      <c r="B18" s="143" t="s">
        <v>196</v>
      </c>
      <c r="C18" s="144" t="s">
        <v>197</v>
      </c>
      <c r="D18" s="144" t="s">
        <v>198</v>
      </c>
      <c r="E18" s="144" t="s">
        <v>48</v>
      </c>
      <c r="F18" s="145" t="s">
        <v>115</v>
      </c>
      <c r="G18" s="145" t="s">
        <v>193</v>
      </c>
      <c r="H18" s="145" t="s">
        <v>4</v>
      </c>
      <c r="I18" s="144" t="s">
        <v>152</v>
      </c>
      <c r="J18" s="144"/>
      <c r="K18" s="144"/>
      <c r="L18" s="144" t="s">
        <v>152</v>
      </c>
      <c r="M18" s="144"/>
      <c r="N18" s="144"/>
      <c r="O18" s="146" t="s">
        <v>199</v>
      </c>
      <c r="Q18" s="135"/>
    </row>
    <row r="19" customFormat="false" ht="109.5" hidden="false" customHeight="true" outlineLevel="1" collapsed="false">
      <c r="A19" s="136" t="s">
        <v>200</v>
      </c>
      <c r="B19" s="116" t="s">
        <v>201</v>
      </c>
      <c r="C19" s="116" t="s">
        <v>202</v>
      </c>
      <c r="D19" s="116" t="s">
        <v>203</v>
      </c>
      <c r="E19" s="116" t="s">
        <v>51</v>
      </c>
      <c r="F19" s="136" t="s">
        <v>115</v>
      </c>
      <c r="G19" s="136" t="s">
        <v>193</v>
      </c>
      <c r="H19" s="136" t="s">
        <v>4</v>
      </c>
      <c r="I19" s="116" t="s">
        <v>152</v>
      </c>
      <c r="J19" s="116"/>
      <c r="K19" s="116"/>
      <c r="L19" s="116" t="s">
        <v>152</v>
      </c>
      <c r="M19" s="116"/>
      <c r="N19" s="116"/>
      <c r="O19" s="138" t="s">
        <v>204</v>
      </c>
      <c r="Q19" s="140"/>
    </row>
    <row r="20" customFormat="false" ht="109.5" hidden="false" customHeight="true" outlineLevel="0" collapsed="false">
      <c r="A20" s="136" t="s">
        <v>205</v>
      </c>
      <c r="B20" s="137" t="s">
        <v>206</v>
      </c>
      <c r="C20" s="137" t="s">
        <v>207</v>
      </c>
      <c r="D20" s="46" t="s">
        <v>208</v>
      </c>
      <c r="E20" s="46" t="s">
        <v>54</v>
      </c>
      <c r="F20" s="136" t="s">
        <v>115</v>
      </c>
      <c r="G20" s="136" t="s">
        <v>209</v>
      </c>
      <c r="H20" s="136" t="s">
        <v>4</v>
      </c>
      <c r="I20" s="116" t="s">
        <v>152</v>
      </c>
      <c r="J20" s="116"/>
      <c r="K20" s="116"/>
      <c r="L20" s="116" t="s">
        <v>152</v>
      </c>
      <c r="M20" s="116"/>
      <c r="N20" s="116"/>
      <c r="O20" s="138" t="s">
        <v>210</v>
      </c>
      <c r="Q20" s="140"/>
    </row>
    <row r="21" customFormat="false" ht="109.5" hidden="false" customHeight="true" outlineLevel="0" collapsed="false">
      <c r="A21" s="136" t="s">
        <v>211</v>
      </c>
      <c r="B21" s="137" t="s">
        <v>212</v>
      </c>
      <c r="C21" s="137" t="s">
        <v>213</v>
      </c>
      <c r="D21" s="46" t="s">
        <v>214</v>
      </c>
      <c r="E21" s="46" t="s">
        <v>79</v>
      </c>
      <c r="F21" s="136" t="s">
        <v>115</v>
      </c>
      <c r="G21" s="136" t="s">
        <v>215</v>
      </c>
      <c r="H21" s="136" t="s">
        <v>4</v>
      </c>
      <c r="I21" s="116" t="s">
        <v>152</v>
      </c>
      <c r="J21" s="116"/>
      <c r="K21" s="116"/>
      <c r="L21" s="116" t="s">
        <v>152</v>
      </c>
      <c r="M21" s="116"/>
      <c r="N21" s="116"/>
      <c r="O21" s="138" t="s">
        <v>216</v>
      </c>
      <c r="Q21" s="140"/>
    </row>
    <row r="22" customFormat="false" ht="109.5" hidden="false" customHeight="true" outlineLevel="0" collapsed="false">
      <c r="A22" s="136" t="s">
        <v>217</v>
      </c>
      <c r="B22" s="137" t="s">
        <v>218</v>
      </c>
      <c r="C22" s="137" t="s">
        <v>219</v>
      </c>
      <c r="D22" s="46" t="s">
        <v>220</v>
      </c>
      <c r="E22" s="46" t="s">
        <v>85</v>
      </c>
      <c r="F22" s="136" t="s">
        <v>115</v>
      </c>
      <c r="G22" s="136" t="s">
        <v>221</v>
      </c>
      <c r="H22" s="136" t="s">
        <v>4</v>
      </c>
      <c r="I22" s="116" t="s">
        <v>152</v>
      </c>
      <c r="J22" s="116"/>
      <c r="K22" s="116"/>
      <c r="L22" s="116" t="s">
        <v>152</v>
      </c>
      <c r="M22" s="116"/>
      <c r="N22" s="116"/>
      <c r="O22" s="138" t="s">
        <v>222</v>
      </c>
      <c r="Q22" s="140"/>
    </row>
    <row r="23" customFormat="false" ht="109.5" hidden="false" customHeight="true" outlineLevel="0" collapsed="false">
      <c r="A23" s="136" t="s">
        <v>223</v>
      </c>
      <c r="B23" s="137" t="s">
        <v>224</v>
      </c>
      <c r="C23" s="137" t="s">
        <v>225</v>
      </c>
      <c r="D23" s="46" t="s">
        <v>226</v>
      </c>
      <c r="E23" s="46" t="s">
        <v>88</v>
      </c>
      <c r="F23" s="136" t="s">
        <v>115</v>
      </c>
      <c r="G23" s="136" t="s">
        <v>227</v>
      </c>
      <c r="H23" s="136" t="s">
        <v>4</v>
      </c>
      <c r="I23" s="116" t="s">
        <v>152</v>
      </c>
      <c r="J23" s="116"/>
      <c r="K23" s="116"/>
      <c r="L23" s="116" t="s">
        <v>152</v>
      </c>
      <c r="M23" s="116"/>
      <c r="N23" s="116"/>
      <c r="O23" s="138" t="s">
        <v>228</v>
      </c>
      <c r="Q23" s="140"/>
    </row>
  </sheetData>
  <mergeCells count="3">
    <mergeCell ref="B1:E1"/>
    <mergeCell ref="B2:E2"/>
    <mergeCell ref="B3:E3"/>
  </mergeCells>
  <dataValidations count="2">
    <dataValidation allowBlank="true" errorStyle="stop" operator="between" showDropDown="false" showErrorMessage="true" showInputMessage="false" sqref="G1:G2 J1:J2 M1:M2 G8:G9 J8:J9 M8:M9 F12:F19 I12:I19 L12:L19 G20:G145 J20:J145 M20:M145" type="list">
      <formula1>$R$1:$R$4</formula1>
      <formula2>0</formula2>
    </dataValidation>
    <dataValidation allowBlank="true" errorStyle="stop" operator="between" showDropDown="false" showErrorMessage="true" showInputMessage="false" sqref="F10 I10 L10" type="none">
      <formula1>0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xl/worksheets/sheet5.xml><?xml version="1.0" encoding="utf-8"?>
<worksheet xmlns="http://schemas.openxmlformats.org/spreadsheetml/2006/main" xmlns:ns1="http://schemas.openxmlformats.org/officeDocument/2006/relationships">
  <sheetPr filterMode="false">
    <outlinePr summaryBelow="0"/>
    <pageSetUpPr fitToPage="tru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0" topLeftCell="A11" activePane="bottomLeft" state="frozen"/>
      <selection pane="topLeft" activeCell="A1" activeCellId="0" sqref="A1"/>
      <selection pane="bottomLeft" activeCell="H5" activeCellId="0" sqref="H5"/>
    </sheetView>
  </sheetViews>
  <sheetFormatPr defaultColWidth="9.00390625" defaultRowHeight="12.75" customHeight="false" zeroHeight="false" outlineLevelRow="1" outlineLevelCol="1"/>
  <cols>
    <col collapsed="false" customWidth="true" hidden="false" outlineLevel="0" max="1" min="1" style="38" width="18"/>
    <col collapsed="false" customWidth="true" hidden="false" outlineLevel="0" max="2" min="2" style="38" width="45"/>
    <col collapsed="false" customWidth="true" hidden="false" outlineLevel="0" max="3" min="3" style="38" width="85"/>
    <col collapsed="false" customWidth="true" hidden="false" outlineLevel="0" max="4" min="4" style="38" width="48"/>
    <col collapsed="false" customWidth="true" hidden="false" outlineLevel="0" max="5" min="5" style="38" width="46"/>
    <col collapsed="false" customWidth="true" hidden="false" outlineLevel="0" max="6" min="6" style="38" width="12"/>
    <col collapsed="false" customWidth="true" hidden="false" outlineLevel="1" max="7" min="7" style="38" width="18"/>
    <col collapsed="false" customWidth="true" hidden="false" outlineLevel="1" max="8" min="8" style="38" width="16"/>
    <col collapsed="false" customWidth="true" hidden="false" outlineLevel="0" max="9" min="9" style="38" width="10"/>
    <col collapsed="false" customWidth="true" hidden="false" outlineLevel="1" max="11" min="10" style="38" width="14"/>
    <col collapsed="false" customWidth="true" hidden="false" outlineLevel="0" max="12" min="12" style="38" width="10"/>
    <col collapsed="false" customWidth="true" hidden="false" outlineLevel="1" max="14" min="13" style="38" width="14"/>
    <col collapsed="false" customWidth="true" hidden="false" outlineLevel="0" max="15" min="15" style="38" width="62"/>
    <col collapsed="false" customWidth="true" hidden="false" outlineLevel="0" max="16" min="16" style="38" width="10.12"/>
    <col collapsed="false" customWidth="true" hidden="false" outlineLevel="0" max="17" min="17" style="106" width="8.13"/>
    <col collapsed="false" customWidth="true" hidden="true" outlineLevel="0" max="18" min="18" style="38" width="7.63"/>
    <col collapsed="false" customWidth="false" hidden="false" outlineLevel="0" max="16384" min="19" style="38" width="9"/>
  </cols>
  <sheetData>
    <row r="1" customFormat="false" ht="36" hidden="false" customHeight="true" outlineLevel="0" collapsed="false"/>
    <row r="2" s="114" customFormat="true" ht="36" hidden="false" customHeight="true" outlineLevel="0" collapsed="false">
      <c r="A2" s="107" t="s">
        <v>147</v>
      </c>
      <c r="B2" s="108" t="s">
        <v>121</v>
      </c>
      <c r="C2" s="108"/>
      <c r="D2" s="108"/>
      <c r="E2" s="108"/>
      <c r="F2" s="109"/>
      <c r="G2" s="110"/>
      <c r="H2" s="111"/>
      <c r="I2" s="109"/>
      <c r="J2" s="110"/>
      <c r="K2" s="111"/>
      <c r="L2" s="109"/>
      <c r="M2" s="110"/>
      <c r="N2" s="111"/>
      <c r="O2" s="111"/>
      <c r="P2" s="111"/>
      <c r="Q2" s="112"/>
      <c r="R2" s="113" t="s">
        <v>115</v>
      </c>
    </row>
    <row r="3" s="114" customFormat="true" ht="36" hidden="false" customHeight="true" outlineLevel="0" collapsed="false">
      <c r="A3" s="115" t="s">
        <v>148</v>
      </c>
      <c r="B3" s="116" t="s">
        <v>229</v>
      </c>
      <c r="C3" s="116"/>
      <c r="D3" s="116"/>
      <c r="E3" s="116"/>
      <c r="F3" s="109"/>
      <c r="G3" s="110"/>
      <c r="H3" s="111"/>
      <c r="I3" s="109"/>
      <c r="J3" s="110"/>
      <c r="K3" s="111"/>
      <c r="L3" s="109"/>
      <c r="M3" s="110"/>
      <c r="N3" s="111"/>
      <c r="O3" s="111"/>
      <c r="P3" s="111"/>
      <c r="Q3" s="112"/>
      <c r="R3" s="113" t="s">
        <v>116</v>
      </c>
    </row>
    <row r="4" s="114" customFormat="true" ht="36" hidden="false" customHeight="true" outlineLevel="0" collapsed="false">
      <c r="A4" s="115" t="s">
        <v>119</v>
      </c>
      <c r="B4" s="116" t="n">
        <f aca="false">COUNTA(A12:A26)</f>
        <v>15</v>
      </c>
      <c r="C4" s="116"/>
      <c r="D4" s="116"/>
      <c r="E4" s="116"/>
      <c r="F4" s="109"/>
      <c r="G4" s="110"/>
      <c r="H4" s="111"/>
      <c r="I4" s="109"/>
      <c r="J4" s="110"/>
      <c r="K4" s="111"/>
      <c r="L4" s="109"/>
      <c r="M4" s="110"/>
      <c r="N4" s="111"/>
      <c r="O4" s="111"/>
      <c r="P4" s="111"/>
      <c r="Q4" s="112"/>
      <c r="R4" s="113" t="s">
        <v>117</v>
      </c>
    </row>
    <row r="5" s="114" customFormat="true" ht="19.5" hidden="false" customHeight="true" outlineLevel="0" collapsed="false">
      <c r="A5" s="117" t="s">
        <v>150</v>
      </c>
      <c r="B5" s="118" t="s">
        <v>115</v>
      </c>
      <c r="C5" s="118" t="s">
        <v>116</v>
      </c>
      <c r="D5" s="118" t="s">
        <v>117</v>
      </c>
      <c r="E5" s="119" t="s">
        <v>151</v>
      </c>
      <c r="F5" s="120"/>
      <c r="G5" s="120"/>
      <c r="H5" s="121"/>
      <c r="I5" s="120"/>
      <c r="J5" s="120"/>
      <c r="K5" s="121"/>
      <c r="L5" s="120"/>
      <c r="M5" s="120"/>
      <c r="N5" s="121"/>
      <c r="O5" s="121"/>
      <c r="P5" s="121"/>
      <c r="Q5" s="122"/>
      <c r="R5" s="113" t="s">
        <v>152</v>
      </c>
    </row>
    <row r="6" s="114" customFormat="true" ht="15" hidden="false" customHeight="true" outlineLevel="0" collapsed="false">
      <c r="A6" s="117" t="s">
        <v>153</v>
      </c>
      <c r="B6" s="123" t="n">
        <f aca="false">COUNTIF($F$12:$F$26,"Passed")</f>
        <v>0</v>
      </c>
      <c r="C6" s="123" t="n">
        <f aca="false">COUNTIF($F$12:$F$26,"Failed")</f>
        <v>0</v>
      </c>
      <c r="D6" s="123" t="n">
        <f aca="false">COUNTIF($F$12:$F$26,"Pending")</f>
        <v>15</v>
      </c>
      <c r="E6" s="124" t="n">
        <f aca="false">COUNTIF($F$12:$F$26,"Blocked")</f>
        <v>0</v>
      </c>
      <c r="F6" s="125"/>
      <c r="G6" s="125"/>
      <c r="H6" s="121"/>
      <c r="I6" s="125"/>
      <c r="J6" s="125"/>
      <c r="K6" s="121"/>
      <c r="L6" s="125"/>
      <c r="M6" s="125"/>
      <c r="N6" s="121"/>
      <c r="O6" s="121"/>
      <c r="P6" s="121"/>
      <c r="Q6" s="122"/>
    </row>
    <row r="7" s="114" customFormat="true" ht="15" hidden="false" customHeight="true" outlineLevel="0" collapsed="false">
      <c r="A7" s="117" t="s">
        <v>154</v>
      </c>
      <c r="B7" s="123" t="n">
        <f aca="false">COUNTIF($F10:$F996,B5)</f>
        <v>0</v>
      </c>
      <c r="C7" s="123" t="n">
        <f aca="false">COUNTIF($F10:$F996,C5)</f>
        <v>0</v>
      </c>
      <c r="D7" s="123" t="n">
        <f aca="false">COUNTIF($F10:$F996,D5)</f>
        <v>15</v>
      </c>
      <c r="E7" s="124" t="n">
        <f aca="false">COUNTIF($F10:$F996,E5)</f>
        <v>0</v>
      </c>
      <c r="F7" s="125"/>
      <c r="G7" s="125"/>
      <c r="H7" s="121"/>
      <c r="I7" s="125"/>
      <c r="J7" s="125"/>
      <c r="K7" s="121"/>
      <c r="L7" s="125"/>
      <c r="M7" s="125"/>
      <c r="N7" s="121"/>
      <c r="O7" s="121"/>
      <c r="P7" s="121"/>
      <c r="Q7" s="122"/>
    </row>
    <row r="8" s="114" customFormat="true" ht="15" hidden="false" customHeight="true" outlineLevel="0" collapsed="false">
      <c r="A8" s="126" t="s">
        <v>155</v>
      </c>
      <c r="B8" s="127" t="n">
        <f aca="false">COUNTIF($F10:$F996,B5)</f>
        <v>0</v>
      </c>
      <c r="C8" s="127" t="n">
        <f aca="false">COUNTIF($F10:$F996,C5)</f>
        <v>0</v>
      </c>
      <c r="D8" s="127" t="n">
        <f aca="false">COUNTIF($F10:$F996,D5)</f>
        <v>15</v>
      </c>
      <c r="E8" s="128" t="n">
        <f aca="false">COUNTIF($F10:$F996,E5)</f>
        <v>0</v>
      </c>
      <c r="F8" s="125"/>
      <c r="G8" s="125"/>
      <c r="H8" s="121"/>
      <c r="I8" s="125"/>
      <c r="J8" s="125"/>
      <c r="K8" s="121"/>
      <c r="L8" s="125"/>
      <c r="M8" s="125"/>
      <c r="N8" s="121"/>
      <c r="O8" s="121"/>
      <c r="P8" s="121"/>
      <c r="Q8" s="122"/>
    </row>
    <row r="9" s="114" customFormat="true" ht="15" hidden="false" customHeight="true" outlineLevel="0" collapsed="false">
      <c r="A9" s="121"/>
      <c r="B9" s="121"/>
      <c r="C9" s="121"/>
      <c r="D9" s="121"/>
      <c r="E9" s="121"/>
      <c r="F9" s="100"/>
      <c r="G9" s="121"/>
      <c r="H9" s="121"/>
      <c r="I9" s="100"/>
      <c r="J9" s="121"/>
      <c r="K9" s="121"/>
      <c r="L9" s="100"/>
      <c r="M9" s="121"/>
      <c r="N9" s="121"/>
      <c r="O9" s="121"/>
      <c r="P9" s="121"/>
      <c r="Q9" s="122"/>
    </row>
    <row r="10" s="114" customFormat="true" ht="42" hidden="false" customHeight="true" outlineLevel="0" collapsed="false">
      <c r="A10" s="129" t="s">
        <v>156</v>
      </c>
      <c r="B10" s="129" t="s">
        <v>157</v>
      </c>
      <c r="C10" s="129" t="s">
        <v>158</v>
      </c>
      <c r="D10" s="129" t="s">
        <v>159</v>
      </c>
      <c r="E10" s="129" t="s">
        <v>29</v>
      </c>
      <c r="F10" s="129" t="s">
        <v>153</v>
      </c>
      <c r="G10" s="129" t="s">
        <v>160</v>
      </c>
      <c r="H10" s="129" t="s">
        <v>161</v>
      </c>
      <c r="I10" s="129" t="s">
        <v>154</v>
      </c>
      <c r="J10" s="129" t="s">
        <v>160</v>
      </c>
      <c r="K10" s="129" t="s">
        <v>161</v>
      </c>
      <c r="L10" s="129" t="s">
        <v>155</v>
      </c>
      <c r="M10" s="129" t="s">
        <v>160</v>
      </c>
      <c r="N10" s="129" t="s">
        <v>161</v>
      </c>
      <c r="O10" s="129" t="s">
        <v>112</v>
      </c>
      <c r="Q10" s="130"/>
    </row>
    <row r="11" s="114" customFormat="true" ht="15.75" hidden="false" customHeight="true" outlineLevel="0" collapsed="false">
      <c r="A11" s="131" t="s">
        <v>162</v>
      </c>
      <c r="B11" s="132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4"/>
      <c r="Q11" s="135"/>
    </row>
    <row r="12" s="139" customFormat="true" ht="109.5" hidden="false" customHeight="true" outlineLevel="1" collapsed="false">
      <c r="A12" s="136" t="s">
        <v>230</v>
      </c>
      <c r="B12" s="137" t="s">
        <v>231</v>
      </c>
      <c r="C12" s="137" t="s">
        <v>232</v>
      </c>
      <c r="D12" s="46" t="s">
        <v>233</v>
      </c>
      <c r="E12" s="46" t="s">
        <v>58</v>
      </c>
      <c r="F12" s="136" t="s">
        <v>117</v>
      </c>
      <c r="G12" s="136"/>
      <c r="H12" s="136"/>
      <c r="I12" s="116" t="s">
        <v>152</v>
      </c>
      <c r="J12" s="116"/>
      <c r="K12" s="116"/>
      <c r="L12" s="116" t="s">
        <v>152</v>
      </c>
      <c r="M12" s="116"/>
      <c r="N12" s="116"/>
      <c r="O12" s="138" t="s">
        <v>234</v>
      </c>
      <c r="Q12" s="140"/>
    </row>
    <row r="13" customFormat="false" ht="109.5" hidden="false" customHeight="true" outlineLevel="1" collapsed="false">
      <c r="A13" s="136" t="s">
        <v>235</v>
      </c>
      <c r="B13" s="116" t="s">
        <v>236</v>
      </c>
      <c r="C13" s="116" t="s">
        <v>237</v>
      </c>
      <c r="D13" s="141" t="s">
        <v>238</v>
      </c>
      <c r="E13" s="141" t="s">
        <v>61</v>
      </c>
      <c r="F13" s="136" t="s">
        <v>117</v>
      </c>
      <c r="G13" s="136"/>
      <c r="H13" s="136"/>
      <c r="I13" s="116" t="s">
        <v>152</v>
      </c>
      <c r="J13" s="116"/>
      <c r="K13" s="116"/>
      <c r="L13" s="116" t="s">
        <v>152</v>
      </c>
      <c r="M13" s="116"/>
      <c r="N13" s="116"/>
      <c r="O13" s="138" t="s">
        <v>239</v>
      </c>
      <c r="Q13" s="140"/>
    </row>
    <row r="14" customFormat="false" ht="109.5" hidden="false" customHeight="true" outlineLevel="1" collapsed="false">
      <c r="A14" s="136" t="s">
        <v>240</v>
      </c>
      <c r="B14" s="116" t="s">
        <v>241</v>
      </c>
      <c r="C14" s="116" t="s">
        <v>242</v>
      </c>
      <c r="D14" s="141" t="s">
        <v>243</v>
      </c>
      <c r="E14" s="141" t="s">
        <v>64</v>
      </c>
      <c r="F14" s="136" t="s">
        <v>117</v>
      </c>
      <c r="G14" s="136"/>
      <c r="H14" s="136"/>
      <c r="I14" s="116" t="s">
        <v>152</v>
      </c>
      <c r="J14" s="116"/>
      <c r="K14" s="116"/>
      <c r="L14" s="116" t="s">
        <v>152</v>
      </c>
      <c r="M14" s="116"/>
      <c r="N14" s="116"/>
      <c r="O14" s="138" t="s">
        <v>244</v>
      </c>
      <c r="Q14" s="140"/>
    </row>
    <row r="15" s="114" customFormat="true" ht="109.5" hidden="false" customHeight="true" outlineLevel="0" collapsed="false">
      <c r="A15" s="142" t="s">
        <v>245</v>
      </c>
      <c r="B15" s="143" t="s">
        <v>246</v>
      </c>
      <c r="C15" s="144" t="s">
        <v>247</v>
      </c>
      <c r="D15" s="144" t="s">
        <v>248</v>
      </c>
      <c r="E15" s="144" t="s">
        <v>67</v>
      </c>
      <c r="F15" s="145" t="s">
        <v>117</v>
      </c>
      <c r="G15" s="145"/>
      <c r="H15" s="145"/>
      <c r="I15" s="144" t="s">
        <v>152</v>
      </c>
      <c r="J15" s="144"/>
      <c r="K15" s="144"/>
      <c r="L15" s="144" t="s">
        <v>152</v>
      </c>
      <c r="M15" s="144"/>
      <c r="N15" s="144"/>
      <c r="O15" s="146" t="s">
        <v>249</v>
      </c>
      <c r="Q15" s="135"/>
    </row>
    <row r="16" customFormat="false" ht="109.5" hidden="false" customHeight="true" outlineLevel="1" collapsed="false">
      <c r="A16" s="136" t="s">
        <v>250</v>
      </c>
      <c r="B16" s="116" t="s">
        <v>251</v>
      </c>
      <c r="C16" s="116" t="s">
        <v>252</v>
      </c>
      <c r="D16" s="116" t="s">
        <v>253</v>
      </c>
      <c r="E16" s="116" t="s">
        <v>70</v>
      </c>
      <c r="F16" s="136" t="s">
        <v>117</v>
      </c>
      <c r="G16" s="136"/>
      <c r="H16" s="136"/>
      <c r="I16" s="116" t="s">
        <v>152</v>
      </c>
      <c r="J16" s="116"/>
      <c r="K16" s="116"/>
      <c r="L16" s="116" t="s">
        <v>152</v>
      </c>
      <c r="M16" s="116"/>
      <c r="N16" s="116"/>
      <c r="O16" s="138" t="s">
        <v>254</v>
      </c>
      <c r="Q16" s="140"/>
    </row>
    <row r="17" customFormat="false" ht="109.5" hidden="false" customHeight="true" outlineLevel="1" collapsed="false">
      <c r="A17" s="136" t="s">
        <v>255</v>
      </c>
      <c r="B17" s="116" t="s">
        <v>256</v>
      </c>
      <c r="C17" s="116" t="s">
        <v>257</v>
      </c>
      <c r="D17" s="116" t="s">
        <v>258</v>
      </c>
      <c r="E17" s="116" t="s">
        <v>73</v>
      </c>
      <c r="F17" s="136" t="s">
        <v>117</v>
      </c>
      <c r="G17" s="147"/>
      <c r="H17" s="147"/>
      <c r="I17" s="116" t="s">
        <v>152</v>
      </c>
      <c r="J17" s="138"/>
      <c r="K17" s="138"/>
      <c r="L17" s="116" t="s">
        <v>152</v>
      </c>
      <c r="M17" s="138"/>
      <c r="N17" s="138"/>
      <c r="O17" s="138" t="s">
        <v>259</v>
      </c>
      <c r="Q17" s="148"/>
    </row>
    <row r="18" customFormat="false" ht="109.5" hidden="false" customHeight="true" outlineLevel="0" collapsed="false">
      <c r="A18" s="103" t="s">
        <v>260</v>
      </c>
      <c r="B18" s="102" t="s">
        <v>261</v>
      </c>
      <c r="C18" s="102" t="s">
        <v>262</v>
      </c>
      <c r="D18" s="102" t="s">
        <v>263</v>
      </c>
      <c r="E18" s="102" t="s">
        <v>76</v>
      </c>
      <c r="F18" s="149" t="s">
        <v>117</v>
      </c>
      <c r="G18" s="149"/>
      <c r="H18" s="149"/>
      <c r="I18" s="102" t="s">
        <v>152</v>
      </c>
      <c r="J18" s="102"/>
      <c r="K18" s="102"/>
      <c r="L18" s="102" t="s">
        <v>152</v>
      </c>
      <c r="M18" s="102"/>
      <c r="N18" s="102"/>
      <c r="O18" s="102" t="s">
        <v>264</v>
      </c>
    </row>
    <row r="19" customFormat="false" ht="109.5" hidden="false" customHeight="true" outlineLevel="0" collapsed="false">
      <c r="A19" s="149" t="s">
        <v>265</v>
      </c>
      <c r="B19" s="102" t="s">
        <v>266</v>
      </c>
      <c r="C19" s="102" t="s">
        <v>267</v>
      </c>
      <c r="D19" s="102" t="s">
        <v>268</v>
      </c>
      <c r="E19" s="102" t="s">
        <v>82</v>
      </c>
      <c r="F19" s="149" t="s">
        <v>117</v>
      </c>
      <c r="G19" s="149"/>
      <c r="H19" s="149"/>
      <c r="I19" s="102" t="s">
        <v>152</v>
      </c>
      <c r="J19" s="102"/>
      <c r="K19" s="102"/>
      <c r="L19" s="102" t="s">
        <v>152</v>
      </c>
      <c r="M19" s="102"/>
      <c r="N19" s="102"/>
      <c r="O19" s="102" t="s">
        <v>269</v>
      </c>
    </row>
    <row r="20" customFormat="false" ht="109.5" hidden="false" customHeight="true" outlineLevel="0" collapsed="false">
      <c r="A20" s="136" t="s">
        <v>270</v>
      </c>
      <c r="B20" s="137" t="s">
        <v>271</v>
      </c>
      <c r="C20" s="137" t="s">
        <v>272</v>
      </c>
      <c r="D20" s="46" t="s">
        <v>273</v>
      </c>
      <c r="E20" s="46" t="s">
        <v>91</v>
      </c>
      <c r="F20" s="136" t="s">
        <v>117</v>
      </c>
      <c r="G20" s="136"/>
      <c r="H20" s="136"/>
      <c r="I20" s="116" t="s">
        <v>152</v>
      </c>
      <c r="J20" s="116"/>
      <c r="K20" s="116"/>
      <c r="L20" s="116" t="s">
        <v>152</v>
      </c>
      <c r="M20" s="116"/>
      <c r="N20" s="116"/>
      <c r="O20" s="138" t="s">
        <v>274</v>
      </c>
      <c r="Q20" s="140"/>
    </row>
    <row r="21" customFormat="false" ht="109.5" hidden="false" customHeight="true" outlineLevel="0" collapsed="false">
      <c r="A21" s="136" t="s">
        <v>275</v>
      </c>
      <c r="B21" s="137" t="s">
        <v>276</v>
      </c>
      <c r="C21" s="137" t="s">
        <v>277</v>
      </c>
      <c r="D21" s="46" t="s">
        <v>278</v>
      </c>
      <c r="E21" s="46" t="s">
        <v>94</v>
      </c>
      <c r="F21" s="136" t="s">
        <v>117</v>
      </c>
      <c r="G21" s="136"/>
      <c r="H21" s="136"/>
      <c r="I21" s="116" t="s">
        <v>152</v>
      </c>
      <c r="J21" s="116"/>
      <c r="K21" s="116"/>
      <c r="L21" s="116" t="s">
        <v>152</v>
      </c>
      <c r="M21" s="116"/>
      <c r="N21" s="116"/>
      <c r="O21" s="138" t="s">
        <v>279</v>
      </c>
      <c r="Q21" s="140"/>
    </row>
    <row r="22" customFormat="false" ht="109.5" hidden="false" customHeight="true" outlineLevel="0" collapsed="false">
      <c r="A22" s="136" t="s">
        <v>280</v>
      </c>
      <c r="B22" s="137" t="s">
        <v>281</v>
      </c>
      <c r="C22" s="137" t="s">
        <v>282</v>
      </c>
      <c r="D22" s="46" t="s">
        <v>283</v>
      </c>
      <c r="E22" s="46" t="s">
        <v>97</v>
      </c>
      <c r="F22" s="136" t="s">
        <v>117</v>
      </c>
      <c r="G22" s="136"/>
      <c r="H22" s="136"/>
      <c r="I22" s="116" t="s">
        <v>152</v>
      </c>
      <c r="J22" s="116"/>
      <c r="K22" s="116"/>
      <c r="L22" s="116" t="s">
        <v>152</v>
      </c>
      <c r="M22" s="116"/>
      <c r="N22" s="116"/>
      <c r="O22" s="138" t="s">
        <v>284</v>
      </c>
      <c r="Q22" s="140"/>
    </row>
    <row r="23" customFormat="false" ht="109.5" hidden="false" customHeight="true" outlineLevel="0" collapsed="false">
      <c r="A23" s="136" t="s">
        <v>285</v>
      </c>
      <c r="B23" s="137" t="s">
        <v>261</v>
      </c>
      <c r="C23" s="137" t="s">
        <v>286</v>
      </c>
      <c r="D23" s="46" t="s">
        <v>287</v>
      </c>
      <c r="E23" s="46" t="s">
        <v>100</v>
      </c>
      <c r="F23" s="136" t="s">
        <v>117</v>
      </c>
      <c r="G23" s="136"/>
      <c r="H23" s="136"/>
      <c r="I23" s="116" t="s">
        <v>152</v>
      </c>
      <c r="J23" s="116"/>
      <c r="K23" s="116"/>
      <c r="L23" s="116" t="s">
        <v>152</v>
      </c>
      <c r="M23" s="116"/>
      <c r="N23" s="116"/>
      <c r="O23" s="138" t="s">
        <v>288</v>
      </c>
      <c r="Q23" s="140"/>
    </row>
    <row r="24" customFormat="false" ht="109.5" hidden="false" customHeight="true" outlineLevel="0" collapsed="false">
      <c r="A24" s="136" t="s">
        <v>289</v>
      </c>
      <c r="B24" s="137" t="s">
        <v>290</v>
      </c>
      <c r="C24" s="137" t="s">
        <v>291</v>
      </c>
      <c r="D24" s="46" t="s">
        <v>292</v>
      </c>
      <c r="E24" s="46" t="s">
        <v>103</v>
      </c>
      <c r="F24" s="136" t="s">
        <v>117</v>
      </c>
      <c r="G24" s="136"/>
      <c r="H24" s="136"/>
      <c r="I24" s="116" t="s">
        <v>152</v>
      </c>
      <c r="J24" s="116"/>
      <c r="K24" s="116"/>
      <c r="L24" s="116" t="s">
        <v>152</v>
      </c>
      <c r="M24" s="116"/>
      <c r="N24" s="116"/>
      <c r="O24" s="138" t="s">
        <v>293</v>
      </c>
      <c r="Q24" s="140"/>
    </row>
    <row r="25" customFormat="false" ht="109.5" hidden="false" customHeight="true" outlineLevel="0" collapsed="false">
      <c r="A25" s="136" t="s">
        <v>294</v>
      </c>
      <c r="B25" s="137" t="s">
        <v>295</v>
      </c>
      <c r="C25" s="137" t="s">
        <v>296</v>
      </c>
      <c r="D25" s="46" t="s">
        <v>297</v>
      </c>
      <c r="E25" s="46" t="s">
        <v>106</v>
      </c>
      <c r="F25" s="136" t="s">
        <v>117</v>
      </c>
      <c r="G25" s="136"/>
      <c r="H25" s="136"/>
      <c r="I25" s="116" t="s">
        <v>152</v>
      </c>
      <c r="J25" s="116"/>
      <c r="K25" s="116"/>
      <c r="L25" s="116" t="s">
        <v>152</v>
      </c>
      <c r="M25" s="116"/>
      <c r="N25" s="116"/>
      <c r="O25" s="138" t="s">
        <v>298</v>
      </c>
      <c r="Q25" s="140"/>
    </row>
    <row r="26" customFormat="false" ht="109.5" hidden="false" customHeight="true" outlineLevel="0" collapsed="false">
      <c r="A26" s="136" t="s">
        <v>299</v>
      </c>
      <c r="B26" s="137" t="s">
        <v>300</v>
      </c>
      <c r="C26" s="137" t="s">
        <v>301</v>
      </c>
      <c r="D26" s="46" t="s">
        <v>302</v>
      </c>
      <c r="E26" s="46" t="s">
        <v>109</v>
      </c>
      <c r="F26" s="136" t="s">
        <v>117</v>
      </c>
      <c r="G26" s="136"/>
      <c r="H26" s="136"/>
      <c r="I26" s="116" t="s">
        <v>152</v>
      </c>
      <c r="J26" s="116"/>
      <c r="K26" s="116"/>
      <c r="L26" s="116" t="s">
        <v>152</v>
      </c>
      <c r="M26" s="116"/>
      <c r="N26" s="116"/>
      <c r="O26" s="138" t="s">
        <v>303</v>
      </c>
      <c r="Q26" s="140"/>
    </row>
  </sheetData>
  <mergeCells count="3">
    <mergeCell ref="B2:E2"/>
    <mergeCell ref="B3:E3"/>
    <mergeCell ref="B4:E4"/>
  </mergeCells>
  <dataValidations count="2">
    <dataValidation allowBlank="true" errorStyle="stop" operator="between" showDropDown="false" showErrorMessage="true" showInputMessage="false" sqref="F10 I10 L10" type="none">
      <formula1>0</formula1>
      <formula2>0</formula2>
    </dataValidation>
    <dataValidation allowBlank="true" errorStyle="stop" operator="between" showDropDown="false" showErrorMessage="true" showInputMessage="false" sqref="G2:G3 J2:J3 M2:M3 G9 J9 M9 F12:F17 I12:I17 L12:L17 G18:G145 J18:J145 M18:M145" type="list">
      <formula1>$R$2:$R$5</formula1>
      <formula2>0</formula2>
    </dataValidation>
  </dataValidations>
  <printOptions headings="false" gridLines="false" gridLinesSet="true" horizontalCentered="false" verticalCentered="false"/>
  <pageMargins left="0.747916666666667" right="0.25" top="0.75" bottom="0.984027777777778" header="0.5" footer="0.5"/>
  <pageSetup paperSize="9" fitToWidth="2" fitToHeight="0" pageOrder="downThenOver" orientation="landscape" blackAndWhite="false" draft="false" cellComments="none" horizontalDpi="300" verticalDpi="300" copies="1"/>
  <headerFooter differentFirst="false" differentOddEven="false">
    <oddHeader>&amp;LFacilitate_Test Case\Company&amp;Rv1.0</oddHeader>
    <oddFooter>&amp;L&amp;"Tahoma,Regular"&amp;8 02ae-BM/PM/HDCV/FSOFT v2/0&amp;C&amp;"Tahoma,Regular"&amp;10 Internal use&amp;R&amp;"Tahoma,Regular"&amp;8 &amp;P/&amp;N</oddFooter>
  </headerFooter>
  <legacyDrawing ns1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BM</cp:category>
  <dcterms:created xsi:type="dcterms:W3CDTF">2020-03-17T17:34:29Z</dcterms:created>
  <dc:creator>IDTS SAP01 Team</dc:creator>
  <dc:description>Official-template-filled current mentor-review artifact generated from docs/qa/test-catalog.json.</dc:description>
  <dc:language>en-US</dc:language>
  <cp:lastModifiedBy>IDTS SAP01 Team</cp:lastModifiedBy>
  <cp:lastPrinted>2024-05-06T01:11:17Z</cp:lastPrinted>
  <dcterms:modified xsi:type="dcterms:W3CDTF">2026-07-23T12:05:41Z</dcterms:modified>
  <cp:revision>0</cp:revision>
  <dc:subject>v1/0</dc:subject>
  <dc:title>IDTS SAP490 Test Report VI v0.3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